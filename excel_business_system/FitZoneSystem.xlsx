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duct" sheetId="1" state="visible" r:id="rId2"/>
    <sheet name="Sales" sheetId="2" state="visible" r:id="rId3"/>
    <sheet name="Customers" sheetId="3" state="visible" r:id="rId4"/>
    <sheet name="Purchases" sheetId="4" state="visible" r:id="rId5"/>
    <sheet name="Expenses" sheetId="5" state="visible" r:id="rId6"/>
    <sheet name="Analysis" sheetId="6" state="visible" r:id="rId7"/>
    <sheet name="WhatIf" sheetId="7" state="visible" r:id="rId8"/>
    <sheet name="GoalSeek" sheetId="8" state="visible" r:id="rId9"/>
    <sheet name="Pivots" sheetId="9" state="visible" r:id="rId10"/>
    <sheet name="Dashboard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<sst xmlns="http://schemas.openxmlformats.org/spreadsheetml/2006/main" count="298" uniqueCount="194">
  <si>
    <t xml:space="preserve">Product_ID</t>
  </si>
  <si>
    <t xml:space="preserve">Product_Name</t>
  </si>
  <si>
    <t xml:space="preserve">Category</t>
  </si>
  <si>
    <t xml:space="preserve">Unit_Price</t>
  </si>
  <si>
    <t xml:space="preserve">Stock_Quantity</t>
  </si>
  <si>
    <t xml:space="preserve">Stock_Value</t>
  </si>
  <si>
    <t xml:space="preserve">Avg_Product_Price</t>
  </si>
  <si>
    <t xml:space="preserve">Stock_Status</t>
  </si>
  <si>
    <t xml:space="preserve">Treadmill Pro X</t>
  </si>
  <si>
    <t xml:space="preserve">Gym</t>
  </si>
  <si>
    <t xml:space="preserve">Garmin GPS Watch</t>
  </si>
  <si>
    <t xml:space="preserve">Running</t>
  </si>
  <si>
    <t xml:space="preserve">Yoga Mat Premium</t>
  </si>
  <si>
    <t xml:space="preserve">Trek Mountain Bike</t>
  </si>
  <si>
    <t xml:space="preserve">Cycling</t>
  </si>
  <si>
    <t xml:space="preserve">Asics Running Shoes</t>
  </si>
  <si>
    <t xml:space="preserve">Speedo Swim Goggles</t>
  </si>
  <si>
    <t xml:space="preserve">Swimming</t>
  </si>
  <si>
    <t xml:space="preserve">Adidas Football Ball</t>
  </si>
  <si>
    <t xml:space="preserve">Football</t>
  </si>
  <si>
    <t xml:space="preserve">Nike Football Cleats</t>
  </si>
  <si>
    <t xml:space="preserve">Arena Swimsuit (Men)</t>
  </si>
  <si>
    <t xml:space="preserve">Dumbbell Set 20 kg</t>
  </si>
  <si>
    <t xml:space="preserve">Sale_ID</t>
  </si>
  <si>
    <t xml:space="preserve">Customer_ID</t>
  </si>
  <si>
    <t xml:space="preserve">Quantity_Sold</t>
  </si>
  <si>
    <t xml:space="preserve">Total_Sale</t>
  </si>
  <si>
    <t xml:space="preserve">Sale_Date</t>
  </si>
  <si>
    <t xml:space="preserve">Sale_Flag</t>
  </si>
  <si>
    <t xml:space="preserve">Category_Lookup</t>
  </si>
  <si>
    <t xml:space="preserve">Stock_Lookup</t>
  </si>
  <si>
    <t xml:space="preserve">Customer_Contact_Lookup</t>
  </si>
  <si>
    <t xml:space="preserve">Customer_City_Lookup</t>
  </si>
  <si>
    <t xml:space="preserve">Unit_Cost_Lookup</t>
  </si>
  <si>
    <t xml:space="preserve">Profit_Per_Sale</t>
  </si>
  <si>
    <t xml:space="preserve">Profit_Margin</t>
  </si>
  <si>
    <t xml:space="preserve">Customer_Name</t>
  </si>
  <si>
    <t xml:space="preserve">City</t>
  </si>
  <si>
    <t xml:space="preserve">Contact_Number</t>
  </si>
  <si>
    <t xml:space="preserve">Total_Purchases</t>
  </si>
  <si>
    <t xml:space="preserve">Loyalty</t>
  </si>
  <si>
    <t xml:space="preserve">Customer_Rank</t>
  </si>
  <si>
    <t xml:space="preserve">Mohamed Elsaeed</t>
  </si>
  <si>
    <t xml:space="preserve">Mansoura</t>
  </si>
  <si>
    <t xml:space="preserve">01000000001</t>
  </si>
  <si>
    <t xml:space="preserve">Ahmed Hassan</t>
  </si>
  <si>
    <t xml:space="preserve">Cairo</t>
  </si>
  <si>
    <t xml:space="preserve">01000000002</t>
  </si>
  <si>
    <t xml:space="preserve">Omar Mostafa</t>
  </si>
  <si>
    <t xml:space="preserve">01000000003</t>
  </si>
  <si>
    <t xml:space="preserve">Yasmin Adel</t>
  </si>
  <si>
    <t xml:space="preserve">Alexandria</t>
  </si>
  <si>
    <t xml:space="preserve">01000000004</t>
  </si>
  <si>
    <t xml:space="preserve">Karim Said</t>
  </si>
  <si>
    <t xml:space="preserve">01000000005</t>
  </si>
  <si>
    <t xml:space="preserve">Nada Tarek</t>
  </si>
  <si>
    <t xml:space="preserve">01000000006</t>
  </si>
  <si>
    <t xml:space="preserve">Purchase_ID</t>
  </si>
  <si>
    <t xml:space="preserve">Supplier_Name</t>
  </si>
  <si>
    <t xml:space="preserve">Quantity_Purchased</t>
  </si>
  <si>
    <t xml:space="preserve">Unit_Cost</t>
  </si>
  <si>
    <t xml:space="preserve">Total_Cost</t>
  </si>
  <si>
    <t xml:space="preserve">Purchase_Date</t>
  </si>
  <si>
    <t xml:space="preserve">Order_Type</t>
  </si>
  <si>
    <t xml:space="preserve">Adidas Egypt</t>
  </si>
  <si>
    <t xml:space="preserve">Nike ME</t>
  </si>
  <si>
    <t xml:space="preserve">FitnessPro Imports</t>
  </si>
  <si>
    <t xml:space="preserve">Decathlon Egypt</t>
  </si>
  <si>
    <t xml:space="preserve">Garmin Distributor</t>
  </si>
  <si>
    <t xml:space="preserve">Trek Bicycles</t>
  </si>
  <si>
    <t xml:space="preserve">Expense_ID</t>
  </si>
  <si>
    <t xml:space="preserve">Expense_Type</t>
  </si>
  <si>
    <t xml:space="preserve">Amount</t>
  </si>
  <si>
    <t xml:space="preserve">Date</t>
  </si>
  <si>
    <t xml:space="preserve">Notes</t>
  </si>
  <si>
    <t xml:space="preserve">Flag</t>
  </si>
  <si>
    <t xml:space="preserve">Essential</t>
  </si>
  <si>
    <t xml:space="preserve">After_Cut_10pct</t>
  </si>
  <si>
    <t xml:space="preserve">Rent</t>
  </si>
  <si>
    <t xml:space="preserve">Shop monthly rent</t>
  </si>
  <si>
    <t xml:space="preserve">Yes</t>
  </si>
  <si>
    <t xml:space="preserve">Salaries</t>
  </si>
  <si>
    <t xml:space="preserve">Monthly payroll</t>
  </si>
  <si>
    <t xml:space="preserve">Electricity</t>
  </si>
  <si>
    <t xml:space="preserve">Utility</t>
  </si>
  <si>
    <t xml:space="preserve">Marketing</t>
  </si>
  <si>
    <t xml:space="preserve">Facebook ads</t>
  </si>
  <si>
    <t xml:space="preserve">No</t>
  </si>
  <si>
    <t xml:space="preserve">Cleaning</t>
  </si>
  <si>
    <t xml:space="preserve">Cleaning service</t>
  </si>
  <si>
    <t xml:space="preserve">Google ads (high)</t>
  </si>
  <si>
    <t xml:space="preserve">Maintenance</t>
  </si>
  <si>
    <t xml:space="preserve">Treadmill servicing</t>
  </si>
  <si>
    <t xml:space="preserve">Print flyers</t>
  </si>
  <si>
    <t xml:space="preserve">Office</t>
  </si>
  <si>
    <t xml:space="preserve">Stationery</t>
  </si>
  <si>
    <t xml:space="preserve">Advanced analysis (Task 2 – Part 1)</t>
  </si>
  <si>
    <t xml:space="preserve">Supplier</t>
  </si>
  <si>
    <t xml:space="preserve">Total Purchase Cost (SUMIF)</t>
  </si>
  <si>
    <t xml:space="preserve">Avg Quantity Purchased (AVERAGEIF)</t>
  </si>
  <si>
    <t xml:space="preserve">Initial_Stock</t>
  </si>
  <si>
    <t xml:space="preserve">Sold (SUMIF)</t>
  </si>
  <si>
    <t xml:space="preserve">Remaining_Stock</t>
  </si>
  <si>
    <t xml:space="preserve">Profit_Per_Product</t>
  </si>
  <si>
    <t xml:space="preserve">Profit_Status</t>
  </si>
  <si>
    <t xml:space="preserve">Top 5 Customers (by Total_Purchases)</t>
  </si>
  <si>
    <t xml:space="preserve">Rank</t>
  </si>
  <si>
    <t xml:space="preserve">What-If / Scenario Analysis (Task 2 – Part 2)</t>
  </si>
  <si>
    <t xml:space="preserve">1) Product stock drops by 20% — impact on Total Stock Value</t>
  </si>
  <si>
    <t xml:space="preserve">Stock_Original</t>
  </si>
  <si>
    <t xml:space="preserve">Stock_After_Drop_20pct</t>
  </si>
  <si>
    <t xml:space="preserve">Stock_Value_New</t>
  </si>
  <si>
    <t xml:space="preserve">Total New Stock Value:</t>
  </si>
  <si>
    <t xml:space="preserve">2) Top-3 products price change — new Total Sales</t>
  </si>
  <si>
    <t xml:space="preserve">Current Total Sales</t>
  </si>
  <si>
    <t xml:space="preserve">+5% Scenario</t>
  </si>
  <si>
    <t xml:space="preserve">+10% Scenario</t>
  </si>
  <si>
    <t xml:space="preserve">+15% Scenario</t>
  </si>
  <si>
    <t xml:space="preserve">3) Add 3 new customers in Cairo — impact on city counts</t>
  </si>
  <si>
    <t xml:space="preserve">Current Customer Count</t>
  </si>
  <si>
    <t xml:space="preserve">After Adding 3 in Cairo</t>
  </si>
  <si>
    <t xml:space="preserve">Alex</t>
  </si>
  <si>
    <t xml:space="preserve">4) FitnessPro Imports unit cost +10% — Total Purchases impact</t>
  </si>
  <si>
    <t xml:space="preserve">Current Total (FitnessPro Imports)</t>
  </si>
  <si>
    <t xml:space="preserve">After +10%</t>
  </si>
  <si>
    <t xml:space="preserve">Difference</t>
  </si>
  <si>
    <t xml:space="preserve">5) Cut 10% of non-essential expenses</t>
  </si>
  <si>
    <t xml:space="preserve">Total Expenses (current)</t>
  </si>
  <si>
    <t xml:space="preserve">Total Expenses (after cut)</t>
  </si>
  <si>
    <t xml:space="preserve">Savings</t>
  </si>
  <si>
    <t xml:space="preserve">Goal Seek tasks (Task 2 – Part 3)</t>
  </si>
  <si>
    <t xml:space="preserve">#</t>
  </si>
  <si>
    <t xml:space="preserve">Goal</t>
  </si>
  <si>
    <t xml:space="preserve">Set cell</t>
  </si>
  <si>
    <t xml:space="preserve">To value</t>
  </si>
  <si>
    <t xml:space="preserve">By changing cell</t>
  </si>
  <si>
    <t xml:space="preserve">1</t>
  </si>
  <si>
    <t xml:space="preserve">Make a Regular customer become Loyal</t>
  </si>
  <si>
    <t xml:space="preserve">Customers!E2 (Total_Purchases of customer 1)</t>
  </si>
  <si>
    <t xml:space="preserve">10001</t>
  </si>
  <si>
    <t xml:space="preserve">An adjustable Sales!F&lt;row&gt; for that customer</t>
  </si>
  <si>
    <t xml:space="preserve">2</t>
  </si>
  <si>
    <t xml:space="preserve">Reach Profit_Per_Sale of 1500 for a chosen sale</t>
  </si>
  <si>
    <t xml:space="preserve">Sales!N5 (Profit_Per_Sale)</t>
  </si>
  <si>
    <t xml:space="preserve">1500</t>
  </si>
  <si>
    <t xml:space="preserve">Sales!E5 (Unit_Price)</t>
  </si>
  <si>
    <t xml:space="preserve">3</t>
  </si>
  <si>
    <t xml:space="preserve">Keep a purchase within budget 50,000</t>
  </si>
  <si>
    <t xml:space="preserve">Purchases!F2 (Total_Cost)</t>
  </si>
  <si>
    <t xml:space="preserve">50000</t>
  </si>
  <si>
    <t xml:space="preserve">Purchases!E2 (Unit_Cost)</t>
  </si>
  <si>
    <t xml:space="preserve">4</t>
  </si>
  <si>
    <t xml:space="preserve">Total expenses ≤ 70,000</t>
  </si>
  <si>
    <t xml:space="preserve">B1 below (=SUM(Expenses!C2:C50))</t>
  </si>
  <si>
    <t xml:space="preserve">70000</t>
  </si>
  <si>
    <t xml:space="preserve">Expenses!C4 (Marketing amount)</t>
  </si>
  <si>
    <t xml:space="preserve">5</t>
  </si>
  <si>
    <t xml:space="preserve">Stock_Value of product 1 = 60,000 without changing quantity</t>
  </si>
  <si>
    <t xml:space="preserve">Product!F2 (Stock_Value of product 1)</t>
  </si>
  <si>
    <t xml:space="preserve">60000</t>
  </si>
  <si>
    <t xml:space="preserve">Product!D2 (Unit_Price of product 1)</t>
  </si>
  <si>
    <t xml:space="preserve">Live cell to use for Goal Seek #4 (Set cell):</t>
  </si>
  <si>
    <t xml:space="preserve">How to run Goal Seek in Excel:</t>
  </si>
  <si>
    <t xml:space="preserve">1. Open the workbook in Excel.</t>
  </si>
  <si>
    <t xml:space="preserve">2. Click the cell listed under 'Set cell'.</t>
  </si>
  <si>
    <t xml:space="preserve">3. Go to: Data → What-If Analysis → Goal Seek.</t>
  </si>
  <si>
    <t xml:space="preserve">4. Set cell = (the cell), To value = (target), By changing cell = (the input cell).</t>
  </si>
  <si>
    <t xml:space="preserve">5. Click OK and screenshot the dialog + the result.</t>
  </si>
  <si>
    <t xml:space="preserve">Pivot-style summaries (Task 2 – Part 4)</t>
  </si>
  <si>
    <t xml:space="preserve">Real PivotTables/PivotCharts require Microsoft Excel. The tables below reproduce the same numbers using SUMIF/SUMIFS so you can verify or compare to your own Pivots.</t>
  </si>
  <si>
    <t xml:space="preserve">1) Profit per Product Category</t>
  </si>
  <si>
    <t xml:space="preserve">Total_Profit</t>
  </si>
  <si>
    <t xml:space="preserve">Profit_Margin_%</t>
  </si>
  <si>
    <t xml:space="preserve">2) Monthly Sales (Total_Sale) — rows = Product, cols = 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</si>
  <si>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</si>
  <si>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</si>
  <si>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</si>
  <si>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</si>
  <si>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</si>
  <si>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</si>
  <si>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3) Total Purchases by Product Category</t>
  </si>
  <si>
    <t xml:space="preserve">4) Total Expenses by Month</t>
  </si>
  <si>
    <t xml:space="preserve">Month</t>
  </si>
  <si>
    <t xml:space="preserve">Total_Expenses</t>
  </si>
  <si>
    <t xml:space="preserve">FitZone Sports — Business Dashboard</t>
  </si>
  <si>
    <t xml:space="preserve">Total Revenue</t>
  </si>
  <si>
    <t xml:space="preserve">Total Profit</t>
  </si>
  <si>
    <t xml:space="preserve">Avg Profit Margin</t>
  </si>
  <si>
    <t xml:space="preserve">Total Expenses</t>
  </si>
  <si>
    <t xml:space="preserve">Total Stock Value</t>
  </si>
  <si>
    <t xml:space="preserve">Total Remaining Stock</t>
  </si>
  <si>
    <t xml:space="preserve">Profit per Category</t>
  </si>
  <si>
    <t xml:space="preserve">Profit Share by Category</t>
  </si>
  <si>
    <t xml:space="preserve">Total Expenses Trend (by Month)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</si>
</sst>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yyyy\-mm\-dd"/>
    <numFmt numFmtId="167" formatCode="0.00%"/>
    <numFmt numFmtId="168" formatCode="#,##0.00"/>
    <numFmt numFmtId="169" formatCode="#,##0.0"/>
    <numFmt numFmtId="170" formatCode="#,##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0"/>
      <color rgb="FF1F4E78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8"/>
      <color rgb="FFC00000"/>
      <name val="Cambria"/>
      <family val="0"/>
      <charset val="1"/>
    </font>
    <font>
      <b val="true"/>
      <sz val="12"/>
      <color rgb="FF1F4E78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DC3E6"/>
      <rgbColor rgb="FFFF99CC"/>
      <rgbColor rgb="FFCC99FF"/>
      <rgbColor rgb="FFF8CBAD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per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Pivots!C5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Pivots!$A$6:$A$9</c:f>
              <c:strCache>
                <c:ptCount val="4"/>
                <c:pt idx="0">
                  <c:v>Football</c:v>
                </c:pt>
                <c:pt idx="1">
                  <c:v>Gym</c:v>
                </c:pt>
                <c:pt idx="2">
                  <c:v>Swimming</c:v>
                </c:pt>
                <c:pt idx="3">
                  <c:v>Running</c:v>
                </c:pt>
              </c:strCache>
            </c:strRef>
          </c:cat>
          <c:val>
            <c:numRef>
              <c:f>Pivots!$C$6:$C$9</c:f>
              <c:numCache>
                <c:formatCode>General</c:formatCode>
                <c:ptCount val="4"/>
                <c:pt idx="0">
                  <c:v>4815</c:v>
                </c:pt>
                <c:pt idx="1">
                  <c:v>44520</c:v>
                </c:pt>
                <c:pt idx="2">
                  <c:v>19800</c:v>
                </c:pt>
                <c:pt idx="3">
                  <c:v>7800</c:v>
                </c:pt>
              </c:numCache>
            </c:numRef>
          </c:val>
        </c:ser>
        <c:gapWidth val="150"/>
        <c:overlap val="0"/>
        <c:axId val="99134814"/>
        <c:axId val="87764361"/>
      </c:barChart>
      <c:catAx>
        <c:axId val="991348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64361"/>
        <c:crosses val="autoZero"/>
        <c:auto val="1"/>
        <c:lblAlgn val="ctr"/>
        <c:lblOffset val="100"/>
        <c:noMultiLvlLbl val="0"/>
      </c:catAx>
      <c:valAx>
        <c:axId val="87764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348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contribution per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Pivots!C5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Pivots!$A$6:$A$9</c:f>
              <c:strCache>
                <c:ptCount val="4"/>
                <c:pt idx="0">
                  <c:v>Football</c:v>
                </c:pt>
                <c:pt idx="1">
                  <c:v>Gym</c:v>
                </c:pt>
                <c:pt idx="2">
                  <c:v>Swimming</c:v>
                </c:pt>
                <c:pt idx="3">
                  <c:v>Running</c:v>
                </c:pt>
              </c:strCache>
            </c:strRef>
          </c:cat>
          <c:val>
            <c:numRef>
              <c:f>Pivots!$C$6:$C$9</c:f>
              <c:numCache>
                <c:formatCode>General</c:formatCode>
                <c:ptCount val="4"/>
                <c:pt idx="0">
                  <c:v>4815</c:v>
                </c:pt>
                <c:pt idx="1">
                  <c:v>44520</c:v>
                </c:pt>
                <c:pt idx="2">
                  <c:v>19800</c:v>
                </c:pt>
                <c:pt idx="3">
                  <c:v>7800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Expenses over Months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Pivots!B35</c:f>
              <c:strCache>
                <c:ptCount val="1"/>
                <c:pt idx="0">
                  <c:v>Total_Expenses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Pivots!$A$36:$A$41</c:f>
              <c:strCache>
                <c:ptCount val="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</c:strCache>
            </c:strRef>
          </c:cat>
          <c:val>
            <c:numRef>
              <c:f>Pivots!$B$36:$B$41</c:f>
              <c:numCache>
                <c:formatCode>General</c:formatCode>
                <c:ptCount val="6"/>
                <c:pt idx="0">
                  <c:v>41300</c:v>
                </c:pt>
                <c:pt idx="1">
                  <c:v>42500</c:v>
                </c:pt>
                <c:pt idx="2">
                  <c:v>39200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00290"/>
        <c:axId val="90659595"/>
      </c:lineChart>
      <c:catAx>
        <c:axId val="80002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59595"/>
        <c:crosses val="autoZero"/>
        <c:auto val="1"/>
        <c:lblAlgn val="ctr"/>
        <c:lblOffset val="100"/>
        <c:noMultiLvlLbl val="0"/>
      </c:catAx>
      <c:valAx>
        <c:axId val="906595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02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per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Pivots!C5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Pivots!$A$6:$A$9</c:f>
              <c:strCache>
                <c:ptCount val="4"/>
                <c:pt idx="0">
                  <c:v>Football</c:v>
                </c:pt>
                <c:pt idx="1">
                  <c:v>Gym</c:v>
                </c:pt>
                <c:pt idx="2">
                  <c:v>Swimming</c:v>
                </c:pt>
                <c:pt idx="3">
                  <c:v>Running</c:v>
                </c:pt>
              </c:strCache>
            </c:strRef>
          </c:cat>
          <c:val>
            <c:numRef>
              <c:f>Pivots!$C$6:$C$9</c:f>
              <c:numCache>
                <c:formatCode>General</c:formatCode>
                <c:ptCount val="4"/>
                <c:pt idx="0">
                  <c:v>4815</c:v>
                </c:pt>
                <c:pt idx="1">
                  <c:v>44520</c:v>
                </c:pt>
                <c:pt idx="2">
                  <c:v>19800</c:v>
                </c:pt>
                <c:pt idx="3">
                  <c:v>7800</c:v>
                </c:pt>
              </c:numCache>
            </c:numRef>
          </c:val>
        </c:ser>
        <c:gapWidth val="150"/>
        <c:overlap val="0"/>
        <c:axId val="4647685"/>
        <c:axId val="13558335"/>
      </c:barChart>
      <c:catAx>
        <c:axId val="46476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58335"/>
        <c:crosses val="autoZero"/>
        <c:auto val="1"/>
        <c:lblAlgn val="ctr"/>
        <c:lblOffset val="100"/>
        <c:noMultiLvlLbl val="0"/>
      </c:catAx>
      <c:valAx>
        <c:axId val="13558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76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Pivots!C5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Pivots!$A$6:$A$9</c:f>
              <c:strCache>
                <c:ptCount val="4"/>
                <c:pt idx="0">
                  <c:v>Football</c:v>
                </c:pt>
                <c:pt idx="1">
                  <c:v>Gym</c:v>
                </c:pt>
                <c:pt idx="2">
                  <c:v>Swimming</c:v>
                </c:pt>
                <c:pt idx="3">
                  <c:v>Running</c:v>
                </c:pt>
              </c:strCache>
            </c:strRef>
          </c:cat>
          <c:val>
            <c:numRef>
              <c:f>Pivots!$C$6:$C$9</c:f>
              <c:numCache>
                <c:formatCode>General</c:formatCode>
                <c:ptCount val="4"/>
                <c:pt idx="0">
                  <c:v>4815</c:v>
                </c:pt>
                <c:pt idx="1">
                  <c:v>44520</c:v>
                </c:pt>
                <c:pt idx="2">
                  <c:v>19800</c:v>
                </c:pt>
                <c:pt idx="3">
                  <c:v>7800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Pivots!B35</c:f>
              <c:strCache>
                <c:ptCount val="1"/>
                <c:pt idx="0">
                  <c:v>Total_Expenses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Pivots!$A$36:$A$41</c:f>
              <c:strCache>
                <c:ptCount val="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</c:strCache>
            </c:strRef>
          </c:cat>
          <c:val>
            <c:numRef>
              <c:f>Pivots!$B$36:$B$41</c:f>
              <c:numCache>
                <c:formatCode>General</c:formatCode>
                <c:ptCount val="6"/>
                <c:pt idx="0">
                  <c:v>41300</c:v>
                </c:pt>
                <c:pt idx="1">
                  <c:v>42500</c:v>
                </c:pt>
                <c:pt idx="2">
                  <c:v>39200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478931"/>
        <c:axId val="95755069"/>
      </c:lineChart>
      <c:catAx>
        <c:axId val="364789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55069"/>
        <c:crosses val="autoZero"/>
        <c:auto val="1"/>
        <c:lblAlgn val="ctr"/>
        <c:lblOffset val="100"/>
        <c:noMultiLvlLbl val="0"/>
      </c:catAx>
      <c:valAx>
        <c:axId val="957550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789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7</xdr:col>
      <xdr:colOff>64080</xdr:colOff>
      <xdr:row>17</xdr:row>
      <xdr:rowOff>32760</xdr:rowOff>
    </xdr:to>
    <xdr:graphicFrame>
      <xdr:nvGraphicFramePr>
        <xdr:cNvPr id="0" name="Chart 1"/>
        <xdr:cNvGraphicFramePr/>
      </xdr:nvGraphicFramePr>
      <xdr:xfrm>
        <a:off x="1333800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7</xdr:col>
      <xdr:colOff>64080</xdr:colOff>
      <xdr:row>32</xdr:row>
      <xdr:rowOff>32760</xdr:rowOff>
    </xdr:to>
    <xdr:graphicFrame>
      <xdr:nvGraphicFramePr>
        <xdr:cNvPr id="1" name="Chart 2"/>
        <xdr:cNvGraphicFramePr/>
      </xdr:nvGraphicFramePr>
      <xdr:xfrm>
        <a:off x="13338000" y="3429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33</xdr:row>
      <xdr:rowOff>0</xdr:rowOff>
    </xdr:from>
    <xdr:to>
      <xdr:col>7</xdr:col>
      <xdr:colOff>64080</xdr:colOff>
      <xdr:row>47</xdr:row>
      <xdr:rowOff>32760</xdr:rowOff>
    </xdr:to>
    <xdr:graphicFrame>
      <xdr:nvGraphicFramePr>
        <xdr:cNvPr id="2" name="Chart 3"/>
        <xdr:cNvGraphicFramePr/>
      </xdr:nvGraphicFramePr>
      <xdr:xfrm>
        <a:off x="13338000" y="6286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2</xdr:col>
      <xdr:colOff>1482480</xdr:colOff>
      <xdr:row>25</xdr:row>
      <xdr:rowOff>22320</xdr:rowOff>
    </xdr:to>
    <xdr:graphicFrame>
      <xdr:nvGraphicFramePr>
        <xdr:cNvPr id="3" name="Chart 1"/>
        <xdr:cNvGraphicFramePr/>
      </xdr:nvGraphicFramePr>
      <xdr:xfrm>
        <a:off x="0" y="1905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10</xdr:row>
      <xdr:rowOff>0</xdr:rowOff>
    </xdr:from>
    <xdr:to>
      <xdr:col>7</xdr:col>
      <xdr:colOff>3600</xdr:colOff>
      <xdr:row>25</xdr:row>
      <xdr:rowOff>22320</xdr:rowOff>
    </xdr:to>
    <xdr:graphicFrame>
      <xdr:nvGraphicFramePr>
        <xdr:cNvPr id="4" name="Chart 2"/>
        <xdr:cNvGraphicFramePr/>
      </xdr:nvGraphicFramePr>
      <xdr:xfrm>
        <a:off x="7114680" y="1905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2</xdr:col>
      <xdr:colOff>1482480</xdr:colOff>
      <xdr:row>44</xdr:row>
      <xdr:rowOff>22320</xdr:rowOff>
    </xdr:to>
    <xdr:graphicFrame>
      <xdr:nvGraphicFramePr>
        <xdr:cNvPr id="5" name="Chart 3"/>
        <xdr:cNvGraphicFramePr/>
      </xdr:nvGraphicFramePr>
      <xdr:xfrm>
        <a:off x="0" y="5524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</v>
      </c>
      <c r="B2" s="0" t="s">
        <v>8</v>
      </c>
      <c r="C2" s="0" t="s">
        <v>9</v>
      </c>
      <c r="D2" s="0" t="n">
        <v>28000</v>
      </c>
      <c r="E2" s="0" t="n">
        <v>6</v>
      </c>
      <c r="F2" s="0" t="n">
        <f aca="false">D2*E2</f>
        <v>168000</v>
      </c>
      <c r="G2" s="0" t="n">
        <f aca="false">AVERAGE($D$2:$D$11)</f>
        <v>6510</v>
      </c>
      <c r="H2" s="2" t="str">
        <f aca="false">IF(E2&lt;10,"Reorder","Sufficient")</f>
        <v>Reorder</v>
      </c>
    </row>
    <row r="3" customFormat="false" ht="15" hidden="false" customHeight="false" outlineLevel="0" collapsed="false">
      <c r="A3" s="0" t="n">
        <v>2</v>
      </c>
      <c r="B3" s="0" t="s">
        <v>10</v>
      </c>
      <c r="C3" s="0" t="s">
        <v>11</v>
      </c>
      <c r="D3" s="0" t="n">
        <v>8500</v>
      </c>
      <c r="E3" s="0" t="n">
        <v>25</v>
      </c>
      <c r="F3" s="0" t="n">
        <f aca="false">D3*E3</f>
        <v>212500</v>
      </c>
      <c r="G3" s="0" t="n">
        <f aca="false">AVERAGE($D$2:$D$11)</f>
        <v>6510</v>
      </c>
      <c r="H3" s="2" t="str">
        <f aca="false">IF(E3&lt;10,"Reorder","Sufficient")</f>
        <v>Sufficient</v>
      </c>
    </row>
    <row r="4" customFormat="false" ht="15" hidden="false" customHeight="false" outlineLevel="0" collapsed="false">
      <c r="A4" s="0" t="n">
        <v>3</v>
      </c>
      <c r="B4" s="0" t="s">
        <v>12</v>
      </c>
      <c r="C4" s="0" t="s">
        <v>9</v>
      </c>
      <c r="D4" s="0" t="n">
        <v>450</v>
      </c>
      <c r="E4" s="0" t="n">
        <v>200</v>
      </c>
      <c r="F4" s="0" t="n">
        <f aca="false">D4*E4</f>
        <v>90000</v>
      </c>
      <c r="G4" s="0" t="n">
        <f aca="false">AVERAGE($D$2:$D$11)</f>
        <v>6510</v>
      </c>
      <c r="H4" s="2" t="str">
        <f aca="false">IF(E4&lt;10,"Reorder","Sufficient")</f>
        <v>Sufficient</v>
      </c>
    </row>
    <row r="5" customFormat="false" ht="15" hidden="false" customHeight="false" outlineLevel="0" collapsed="false">
      <c r="A5" s="0" t="n">
        <v>4</v>
      </c>
      <c r="B5" s="0" t="s">
        <v>13</v>
      </c>
      <c r="C5" s="0" t="s">
        <v>14</v>
      </c>
      <c r="D5" s="0" t="n">
        <v>18000</v>
      </c>
      <c r="E5" s="0" t="n">
        <v>9</v>
      </c>
      <c r="F5" s="0" t="n">
        <f aca="false">D5*E5</f>
        <v>162000</v>
      </c>
      <c r="G5" s="0" t="n">
        <f aca="false">AVERAGE($D$2:$D$11)</f>
        <v>6510</v>
      </c>
      <c r="H5" s="2" t="str">
        <f aca="false">IF(E5&lt;10,"Reorder","Sufficient")</f>
        <v>Reorder</v>
      </c>
    </row>
    <row r="6" customFormat="false" ht="15" hidden="false" customHeight="false" outlineLevel="0" collapsed="false">
      <c r="A6" s="0" t="n">
        <v>5</v>
      </c>
      <c r="B6" s="0" t="s">
        <v>15</v>
      </c>
      <c r="C6" s="0" t="s">
        <v>11</v>
      </c>
      <c r="D6" s="0" t="n">
        <v>3200</v>
      </c>
      <c r="E6" s="0" t="n">
        <v>60</v>
      </c>
      <c r="F6" s="0" t="n">
        <f aca="false">D6*E6</f>
        <v>192000</v>
      </c>
      <c r="G6" s="0" t="n">
        <f aca="false">AVERAGE($D$2:$D$11)</f>
        <v>6510</v>
      </c>
      <c r="H6" s="2" t="str">
        <f aca="false">IF(E6&lt;10,"Reorder","Sufficient")</f>
        <v>Sufficient</v>
      </c>
    </row>
    <row r="7" customFormat="false" ht="15" hidden="false" customHeight="false" outlineLevel="0" collapsed="false">
      <c r="A7" s="0" t="n">
        <v>6</v>
      </c>
      <c r="B7" s="0" t="s">
        <v>16</v>
      </c>
      <c r="C7" s="0" t="s">
        <v>17</v>
      </c>
      <c r="D7" s="0" t="n">
        <v>650</v>
      </c>
      <c r="E7" s="0" t="n">
        <v>150</v>
      </c>
      <c r="F7" s="0" t="n">
        <f aca="false">D7*E7</f>
        <v>97500</v>
      </c>
      <c r="G7" s="0" t="n">
        <f aca="false">AVERAGE($D$2:$D$11)</f>
        <v>6510</v>
      </c>
      <c r="H7" s="2" t="str">
        <f aca="false">IF(E7&lt;10,"Reorder","Sufficient")</f>
        <v>Sufficient</v>
      </c>
    </row>
    <row r="8" customFormat="false" ht="15" hidden="false" customHeight="false" outlineLevel="0" collapsed="false">
      <c r="A8" s="0" t="n">
        <v>7</v>
      </c>
      <c r="B8" s="0" t="s">
        <v>18</v>
      </c>
      <c r="C8" s="0" t="s">
        <v>19</v>
      </c>
      <c r="D8" s="0" t="n">
        <v>800</v>
      </c>
      <c r="E8" s="0" t="n">
        <v>120</v>
      </c>
      <c r="F8" s="0" t="n">
        <f aca="false">D8*E8</f>
        <v>96000</v>
      </c>
      <c r="G8" s="0" t="n">
        <f aca="false">AVERAGE($D$2:$D$11)</f>
        <v>6510</v>
      </c>
      <c r="H8" s="2" t="str">
        <f aca="false">IF(E8&lt;10,"Reorder","Sufficient")</f>
        <v>Sufficient</v>
      </c>
    </row>
    <row r="9" customFormat="false" ht="15" hidden="false" customHeight="false" outlineLevel="0" collapsed="false">
      <c r="A9" s="0" t="n">
        <v>8</v>
      </c>
      <c r="B9" s="0" t="s">
        <v>20</v>
      </c>
      <c r="C9" s="0" t="s">
        <v>19</v>
      </c>
      <c r="D9" s="0" t="n">
        <v>2500</v>
      </c>
      <c r="E9" s="0" t="n">
        <v>45</v>
      </c>
      <c r="F9" s="0" t="n">
        <f aca="false">D9*E9</f>
        <v>112500</v>
      </c>
      <c r="G9" s="0" t="n">
        <f aca="false">AVERAGE($D$2:$D$11)</f>
        <v>6510</v>
      </c>
      <c r="H9" s="2" t="str">
        <f aca="false">IF(E9&lt;10,"Reorder","Sufficient")</f>
        <v>Sufficient</v>
      </c>
    </row>
    <row r="10" customFormat="false" ht="15" hidden="false" customHeight="false" outlineLevel="0" collapsed="false">
      <c r="A10" s="0" t="n">
        <v>9</v>
      </c>
      <c r="B10" s="0" t="s">
        <v>21</v>
      </c>
      <c r="C10" s="0" t="s">
        <v>17</v>
      </c>
      <c r="D10" s="0" t="n">
        <v>1200</v>
      </c>
      <c r="E10" s="0" t="n">
        <v>8</v>
      </c>
      <c r="F10" s="0" t="n">
        <f aca="false">D10*E10</f>
        <v>9600</v>
      </c>
      <c r="G10" s="0" t="n">
        <f aca="false">AVERAGE($D$2:$D$11)</f>
        <v>6510</v>
      </c>
      <c r="H10" s="2" t="str">
        <f aca="false">IF(E10&lt;10,"Reorder","Sufficient")</f>
        <v>Reorder</v>
      </c>
    </row>
    <row r="11" customFormat="false" ht="15" hidden="false" customHeight="false" outlineLevel="0" collapsed="false">
      <c r="A11" s="0" t="n">
        <v>10</v>
      </c>
      <c r="B11" s="0" t="s">
        <v>22</v>
      </c>
      <c r="C11" s="0" t="s">
        <v>9</v>
      </c>
      <c r="D11" s="0" t="n">
        <v>1800</v>
      </c>
      <c r="E11" s="0" t="n">
        <v>30</v>
      </c>
      <c r="F11" s="0" t="n">
        <f aca="false">D11*E11</f>
        <v>54000</v>
      </c>
      <c r="G11" s="0" t="n">
        <f aca="false">AVERAGE($D$2:$D$11)</f>
        <v>6510</v>
      </c>
      <c r="H11" s="2" t="str">
        <f aca="false">IF(E11&lt;10,"Reorder","Sufficient")</f>
        <v>Sufficient</v>
      </c>
    </row>
  </sheetData>
  <conditionalFormatting sqref="H2:H11">
    <cfRule type="cellIs" priority="2" operator="equal" aboveAverage="0" equalAverage="0" bottom="0" percent="0" rank="0" text="" dxfId="0">
      <formula>"Reorder"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7" min="5" style="0" width="12"/>
    <col collapsed="false" customWidth="true" hidden="false" outlineLevel="0" max="13" min="8" style="0" width="30"/>
    <col collapsed="false" customWidth="true" hidden="false" outlineLevel="0" max="14" min="14" style="0" width="17"/>
    <col collapsed="false" customWidth="true" hidden="false" outlineLevel="0" max="15" min="15" style="0" width="21"/>
  </cols>
  <sheetData>
    <row r="1" customFormat="false" ht="15" hidden="false" customHeight="false" outlineLevel="0" collapsed="false">
      <c r="A1" s="1" t="s">
        <v>23</v>
      </c>
      <c r="B1" s="1" t="s">
        <v>0</v>
      </c>
      <c r="C1" s="1" t="s">
        <v>24</v>
      </c>
      <c r="D1" s="1" t="s">
        <v>25</v>
      </c>
      <c r="E1" s="1" t="s">
        <v>3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customFormat="false" ht="15" hidden="false" customHeight="false" outlineLevel="0" collapsed="false">
      <c r="A2" s="0" t="n">
        <v>101</v>
      </c>
      <c r="B2" s="0" t="n">
        <v>1</v>
      </c>
      <c r="C2" s="0" t="n">
        <v>1</v>
      </c>
      <c r="D2" s="0" t="n">
        <v>2</v>
      </c>
      <c r="E2" s="0" t="n">
        <v>28000</v>
      </c>
      <c r="F2" s="0" t="n">
        <f aca="false">D2*E2</f>
        <v>56000</v>
      </c>
      <c r="G2" s="3" t="n">
        <v>46027</v>
      </c>
      <c r="H2" s="2" t="str">
        <f aca="false">IF(F2&gt;5000,"High","Normal")</f>
        <v>High</v>
      </c>
      <c r="I2" s="0" t="str">
        <f aca="false">VLOOKUP(B2,Product!$A$2:$E$11,3,FALSE())</f>
        <v>Gym</v>
      </c>
      <c r="J2" s="0" t="n">
        <f aca="false">VLOOKUP(B2,Product!$A$2:$E$11,5,FALSE())</f>
        <v>6</v>
      </c>
      <c r="K2" s="0" t="str">
        <f aca="false">INDEX(Customers!$D$2:$D$50,MATCH(C2,Customers!$A$2:$A$50,0))</f>
        <v>01000000001</v>
      </c>
      <c r="L2" s="0" t="str">
        <f aca="false">INDEX(Customers!$C$2:$C$50,MATCH(C2,Customers!$A$2:$A$50,0))</f>
        <v>Mansoura</v>
      </c>
      <c r="M2" s="0" t="n">
        <f aca="false">IFERROR(AVERAGEIF(Purchases!$C$2:$C$50,B2,Purchases!$E$2:$E$50),0)</f>
        <v>22000</v>
      </c>
      <c r="N2" s="0" t="n">
        <f aca="false">F2-(D2*M2)</f>
        <v>12000</v>
      </c>
      <c r="O2" s="4" t="n">
        <f aca="false">IFERROR(N2/F2,0)</f>
        <v>0.214285714285714</v>
      </c>
    </row>
    <row r="3" customFormat="false" ht="15" hidden="false" customHeight="false" outlineLevel="0" collapsed="false">
      <c r="A3" s="0" t="n">
        <v>102</v>
      </c>
      <c r="B3" s="0" t="n">
        <v>3</v>
      </c>
      <c r="C3" s="0" t="n">
        <v>2</v>
      </c>
      <c r="D3" s="0" t="n">
        <v>4</v>
      </c>
      <c r="E3" s="0" t="n">
        <v>450</v>
      </c>
      <c r="F3" s="0" t="n">
        <f aca="false">D3*E3</f>
        <v>1800</v>
      </c>
      <c r="G3" s="3" t="n">
        <v>46030</v>
      </c>
      <c r="H3" s="2" t="str">
        <f aca="false">IF(F3&gt;5000,"High","Normal")</f>
        <v>Normal</v>
      </c>
      <c r="I3" s="0" t="str">
        <f aca="false">VLOOKUP(B3,Product!$A$2:$E$11,3,FALSE())</f>
        <v>Gym</v>
      </c>
      <c r="J3" s="0" t="n">
        <f aca="false">VLOOKUP(B3,Product!$A$2:$E$11,5,FALSE())</f>
        <v>200</v>
      </c>
      <c r="K3" s="0" t="str">
        <f aca="false">INDEX(Customers!$D$2:$D$50,MATCH(C3,Customers!$A$2:$A$50,0))</f>
        <v>01000000002</v>
      </c>
      <c r="L3" s="0" t="str">
        <f aca="false">INDEX(Customers!$C$2:$C$50,MATCH(C3,Customers!$A$2:$A$50,0))</f>
        <v>Cairo</v>
      </c>
      <c r="M3" s="0" t="n">
        <f aca="false">IFERROR(AVERAGEIF(Purchases!$C$2:$C$50,B3,Purchases!$E$2:$E$50),0)</f>
        <v>280</v>
      </c>
      <c r="N3" s="0" t="n">
        <f aca="false">F3-(D3*M3)</f>
        <v>680</v>
      </c>
      <c r="O3" s="4" t="n">
        <f aca="false">IFERROR(N3/F3,0)</f>
        <v>0.377777777777778</v>
      </c>
    </row>
    <row r="4" customFormat="false" ht="15" hidden="false" customHeight="false" outlineLevel="0" collapsed="false">
      <c r="A4" s="0" t="n">
        <v>103</v>
      </c>
      <c r="B4" s="0" t="n">
        <v>4</v>
      </c>
      <c r="C4" s="0" t="n">
        <v>3</v>
      </c>
      <c r="D4" s="0" t="n">
        <v>1</v>
      </c>
      <c r="E4" s="0" t="n">
        <v>18000</v>
      </c>
      <c r="F4" s="0" t="n">
        <f aca="false">D4*E4</f>
        <v>18000</v>
      </c>
      <c r="G4" s="3" t="n">
        <v>46034</v>
      </c>
      <c r="H4" s="2" t="str">
        <f aca="false">IF(F4&gt;5000,"High","Normal")</f>
        <v>High</v>
      </c>
      <c r="I4" s="0" t="str">
        <f aca="false">VLOOKUP(B4,Product!$A$2:$E$11,3,FALSE())</f>
        <v>Cycling</v>
      </c>
      <c r="J4" s="0" t="n">
        <f aca="false">VLOOKUP(B4,Product!$A$2:$E$11,5,FALSE())</f>
        <v>9</v>
      </c>
      <c r="K4" s="0" t="str">
        <f aca="false">INDEX(Customers!$D$2:$D$50,MATCH(C4,Customers!$A$2:$A$50,0))</f>
        <v>01000000003</v>
      </c>
      <c r="L4" s="0" t="str">
        <f aca="false">INDEX(Customers!$C$2:$C$50,MATCH(C4,Customers!$A$2:$A$50,0))</f>
        <v>Mansoura</v>
      </c>
      <c r="M4" s="0" t="n">
        <f aca="false">IFERROR(AVERAGEIF(Purchases!$C$2:$C$50,B4,Purchases!$E$2:$E$50),0)</f>
        <v>14000</v>
      </c>
      <c r="N4" s="0" t="n">
        <f aca="false">F4-(D4*M4)</f>
        <v>4000</v>
      </c>
      <c r="O4" s="4" t="n">
        <f aca="false">IFERROR(N4/F4,0)</f>
        <v>0.222222222222222</v>
      </c>
    </row>
    <row r="5" customFormat="false" ht="15" hidden="false" customHeight="false" outlineLevel="0" collapsed="false">
      <c r="A5" s="0" t="n">
        <v>104</v>
      </c>
      <c r="B5" s="0" t="n">
        <v>2</v>
      </c>
      <c r="C5" s="0" t="n">
        <v>1</v>
      </c>
      <c r="D5" s="0" t="n">
        <v>1</v>
      </c>
      <c r="E5" s="0" t="n">
        <v>8500</v>
      </c>
      <c r="F5" s="0" t="n">
        <f aca="false">D5*E5</f>
        <v>8500</v>
      </c>
      <c r="G5" s="3" t="n">
        <v>46056</v>
      </c>
      <c r="H5" s="2" t="str">
        <f aca="false">IF(F5&gt;5000,"High","Normal")</f>
        <v>High</v>
      </c>
      <c r="I5" s="0" t="str">
        <f aca="false">VLOOKUP(B5,Product!$A$2:$E$11,3,FALSE())</f>
        <v>Running</v>
      </c>
      <c r="J5" s="0" t="n">
        <f aca="false">VLOOKUP(B5,Product!$A$2:$E$11,5,FALSE())</f>
        <v>25</v>
      </c>
      <c r="K5" s="0" t="str">
        <f aca="false">INDEX(Customers!$D$2:$D$50,MATCH(C5,Customers!$A$2:$A$50,0))</f>
        <v>01000000001</v>
      </c>
      <c r="L5" s="0" t="str">
        <f aca="false">INDEX(Customers!$C$2:$C$50,MATCH(C5,Customers!$A$2:$A$50,0))</f>
        <v>Mansoura</v>
      </c>
      <c r="M5" s="0" t="n">
        <f aca="false">IFERROR(AVERAGEIF(Purchases!$C$2:$C$50,B5,Purchases!$E$2:$E$50),0)</f>
        <v>6500</v>
      </c>
      <c r="N5" s="0" t="n">
        <f aca="false">F5-(D5*M5)</f>
        <v>2000</v>
      </c>
      <c r="O5" s="4" t="n">
        <f aca="false">IFERROR(N5/F5,0)</f>
        <v>0.235294117647059</v>
      </c>
    </row>
    <row r="6" customFormat="false" ht="15" hidden="false" customHeight="false" outlineLevel="0" collapsed="false">
      <c r="A6" s="0" t="n">
        <v>105</v>
      </c>
      <c r="B6" s="0" t="n">
        <v>6</v>
      </c>
      <c r="C6" s="0" t="n">
        <v>4</v>
      </c>
      <c r="D6" s="0" t="n">
        <v>50</v>
      </c>
      <c r="E6" s="0" t="n">
        <v>650</v>
      </c>
      <c r="F6" s="0" t="n">
        <f aca="false">D6*E6</f>
        <v>32500</v>
      </c>
      <c r="G6" s="3" t="n">
        <v>46062</v>
      </c>
      <c r="H6" s="2" t="str">
        <f aca="false">IF(F6&gt;5000,"High","Normal")</f>
        <v>High</v>
      </c>
      <c r="I6" s="0" t="str">
        <f aca="false">VLOOKUP(B6,Product!$A$2:$E$11,3,FALSE())</f>
        <v>Swimming</v>
      </c>
      <c r="J6" s="0" t="n">
        <f aca="false">VLOOKUP(B6,Product!$A$2:$E$11,5,FALSE())</f>
        <v>150</v>
      </c>
      <c r="K6" s="0" t="str">
        <f aca="false">INDEX(Customers!$D$2:$D$50,MATCH(C6,Customers!$A$2:$A$50,0))</f>
        <v>01000000004</v>
      </c>
      <c r="L6" s="0" t="str">
        <f aca="false">INDEX(Customers!$C$2:$C$50,MATCH(C6,Customers!$A$2:$A$50,0))</f>
        <v>Alexandria</v>
      </c>
      <c r="M6" s="0" t="n">
        <f aca="false">IFERROR(AVERAGEIF(Purchases!$C$2:$C$50,B6,Purchases!$E$2:$E$50),0)</f>
        <v>400</v>
      </c>
      <c r="N6" s="0" t="n">
        <f aca="false">F6-(D6*M6)</f>
        <v>12500</v>
      </c>
      <c r="O6" s="4" t="n">
        <f aca="false">IFERROR(N6/F6,0)</f>
        <v>0.384615384615385</v>
      </c>
    </row>
    <row r="7" customFormat="false" ht="15" hidden="false" customHeight="false" outlineLevel="0" collapsed="false">
      <c r="A7" s="0" t="n">
        <v>106</v>
      </c>
      <c r="B7" s="0" t="n">
        <v>8</v>
      </c>
      <c r="C7" s="0" t="n">
        <v>5</v>
      </c>
      <c r="D7" s="0" t="n">
        <v>2</v>
      </c>
      <c r="E7" s="0" t="n">
        <v>2500</v>
      </c>
      <c r="F7" s="0" t="n">
        <f aca="false">D7*E7</f>
        <v>5000</v>
      </c>
      <c r="G7" s="3" t="n">
        <v>46071</v>
      </c>
      <c r="H7" s="2" t="str">
        <f aca="false">IF(F7&gt;5000,"High","Normal")</f>
        <v>Normal</v>
      </c>
      <c r="I7" s="0" t="str">
        <f aca="false">VLOOKUP(B7,Product!$A$2:$E$11,3,FALSE())</f>
        <v>Football</v>
      </c>
      <c r="J7" s="0" t="n">
        <f aca="false">VLOOKUP(B7,Product!$A$2:$E$11,5,FALSE())</f>
        <v>45</v>
      </c>
      <c r="K7" s="0" t="str">
        <f aca="false">INDEX(Customers!$D$2:$D$50,MATCH(C7,Customers!$A$2:$A$50,0))</f>
        <v>01000000005</v>
      </c>
      <c r="L7" s="0" t="str">
        <f aca="false">INDEX(Customers!$C$2:$C$50,MATCH(C7,Customers!$A$2:$A$50,0))</f>
        <v>Cairo</v>
      </c>
      <c r="M7" s="0" t="n">
        <f aca="false">IFERROR(AVERAGEIF(Purchases!$C$2:$C$50,B7,Purchases!$E$2:$E$50),0)</f>
        <v>1825</v>
      </c>
      <c r="N7" s="0" t="n">
        <f aca="false">F7-(D7*M7)</f>
        <v>1350</v>
      </c>
      <c r="O7" s="4" t="n">
        <f aca="false">IFERROR(N7/F7,0)</f>
        <v>0.27</v>
      </c>
    </row>
    <row r="8" customFormat="false" ht="15" hidden="false" customHeight="false" outlineLevel="0" collapsed="false">
      <c r="A8" s="0" t="n">
        <v>107</v>
      </c>
      <c r="B8" s="0" t="n">
        <v>7</v>
      </c>
      <c r="C8" s="0" t="n">
        <v>2</v>
      </c>
      <c r="D8" s="0" t="n">
        <v>6</v>
      </c>
      <c r="E8" s="0" t="n">
        <v>800</v>
      </c>
      <c r="F8" s="0" t="n">
        <f aca="false">D8*E8</f>
        <v>4800</v>
      </c>
      <c r="G8" s="3" t="n">
        <v>46082</v>
      </c>
      <c r="H8" s="2" t="str">
        <f aca="false">IF(F8&gt;5000,"High","Normal")</f>
        <v>Normal</v>
      </c>
      <c r="I8" s="0" t="str">
        <f aca="false">VLOOKUP(B8,Product!$A$2:$E$11,3,FALSE())</f>
        <v>Football</v>
      </c>
      <c r="J8" s="0" t="n">
        <f aca="false">VLOOKUP(B8,Product!$A$2:$E$11,5,FALSE())</f>
        <v>120</v>
      </c>
      <c r="K8" s="0" t="str">
        <f aca="false">INDEX(Customers!$D$2:$D$50,MATCH(C8,Customers!$A$2:$A$50,0))</f>
        <v>01000000002</v>
      </c>
      <c r="L8" s="0" t="str">
        <f aca="false">INDEX(Customers!$C$2:$C$50,MATCH(C8,Customers!$A$2:$A$50,0))</f>
        <v>Cairo</v>
      </c>
      <c r="M8" s="0" t="n">
        <f aca="false">IFERROR(AVERAGEIF(Purchases!$C$2:$C$50,B8,Purchases!$E$2:$E$50),0)</f>
        <v>490</v>
      </c>
      <c r="N8" s="0" t="n">
        <f aca="false">F8-(D8*M8)</f>
        <v>1860</v>
      </c>
      <c r="O8" s="4" t="n">
        <f aca="false">IFERROR(N8/F8,0)</f>
        <v>0.3875</v>
      </c>
    </row>
    <row r="9" customFormat="false" ht="15" hidden="false" customHeight="false" outlineLevel="0" collapsed="false">
      <c r="A9" s="0" t="n">
        <v>108</v>
      </c>
      <c r="B9" s="0" t="n">
        <v>5</v>
      </c>
      <c r="C9" s="0" t="n">
        <v>3</v>
      </c>
      <c r="D9" s="0" t="n">
        <v>1</v>
      </c>
      <c r="E9" s="0" t="n">
        <v>3200</v>
      </c>
      <c r="F9" s="0" t="n">
        <f aca="false">D9*E9</f>
        <v>3200</v>
      </c>
      <c r="G9" s="3" t="n">
        <v>46088</v>
      </c>
      <c r="H9" s="2" t="str">
        <f aca="false">IF(F9&gt;5000,"High","Normal")</f>
        <v>Normal</v>
      </c>
      <c r="I9" s="0" t="str">
        <f aca="false">VLOOKUP(B9,Product!$A$2:$E$11,3,FALSE())</f>
        <v>Running</v>
      </c>
      <c r="J9" s="0" t="n">
        <f aca="false">VLOOKUP(B9,Product!$A$2:$E$11,5,FALSE())</f>
        <v>60</v>
      </c>
      <c r="K9" s="0" t="str">
        <f aca="false">INDEX(Customers!$D$2:$D$50,MATCH(C9,Customers!$A$2:$A$50,0))</f>
        <v>01000000003</v>
      </c>
      <c r="L9" s="0" t="str">
        <f aca="false">INDEX(Customers!$C$2:$C$50,MATCH(C9,Customers!$A$2:$A$50,0))</f>
        <v>Mansoura</v>
      </c>
      <c r="M9" s="0" t="n">
        <f aca="false">IFERROR(AVERAGEIF(Purchases!$C$2:$C$50,B9,Purchases!$E$2:$E$50),0)</f>
        <v>2300</v>
      </c>
      <c r="N9" s="0" t="n">
        <f aca="false">F9-(D9*M9)</f>
        <v>900</v>
      </c>
      <c r="O9" s="4" t="n">
        <f aca="false">IFERROR(N9/F9,0)</f>
        <v>0.28125</v>
      </c>
    </row>
    <row r="10" customFormat="false" ht="15" hidden="false" customHeight="false" outlineLevel="0" collapsed="false">
      <c r="A10" s="0" t="n">
        <v>109</v>
      </c>
      <c r="B10" s="0" t="n">
        <v>10</v>
      </c>
      <c r="C10" s="0" t="n">
        <v>6</v>
      </c>
      <c r="D10" s="0" t="n">
        <v>10</v>
      </c>
      <c r="E10" s="0" t="n">
        <v>1800</v>
      </c>
      <c r="F10" s="0" t="n">
        <f aca="false">D10*E10</f>
        <v>18000</v>
      </c>
      <c r="G10" s="3" t="n">
        <v>46096</v>
      </c>
      <c r="H10" s="2" t="str">
        <f aca="false">IF(F10&gt;5000,"High","Normal")</f>
        <v>High</v>
      </c>
      <c r="I10" s="0" t="str">
        <f aca="false">VLOOKUP(B10,Product!$A$2:$E$11,3,FALSE())</f>
        <v>Gym</v>
      </c>
      <c r="J10" s="0" t="n">
        <f aca="false">VLOOKUP(B10,Product!$A$2:$E$11,5,FALSE())</f>
        <v>30</v>
      </c>
      <c r="K10" s="0" t="str">
        <f aca="false">INDEX(Customers!$D$2:$D$50,MATCH(C10,Customers!$A$2:$A$50,0))</f>
        <v>01000000006</v>
      </c>
      <c r="L10" s="0" t="str">
        <f aca="false">INDEX(Customers!$C$2:$C$50,MATCH(C10,Customers!$A$2:$A$50,0))</f>
        <v>Mansoura</v>
      </c>
      <c r="M10" s="0" t="n">
        <f aca="false">IFERROR(AVERAGEIF(Purchases!$C$2:$C$50,B10,Purchases!$E$2:$E$50),0)</f>
        <v>1300</v>
      </c>
      <c r="N10" s="0" t="n">
        <f aca="false">F10-(D10*M10)</f>
        <v>5000</v>
      </c>
      <c r="O10" s="4" t="n">
        <f aca="false">IFERROR(N10/F10,0)</f>
        <v>0.277777777777778</v>
      </c>
    </row>
    <row r="11" customFormat="false" ht="15" hidden="false" customHeight="false" outlineLevel="0" collapsed="false">
      <c r="A11" s="0" t="n">
        <v>110</v>
      </c>
      <c r="B11" s="0" t="n">
        <v>1</v>
      </c>
      <c r="C11" s="0" t="n">
        <v>4</v>
      </c>
      <c r="D11" s="0" t="n">
        <v>1</v>
      </c>
      <c r="E11" s="0" t="n">
        <v>28000</v>
      </c>
      <c r="F11" s="0" t="n">
        <f aca="false">D11*E11</f>
        <v>28000</v>
      </c>
      <c r="G11" s="3" t="n">
        <v>46103</v>
      </c>
      <c r="H11" s="2" t="str">
        <f aca="false">IF(F11&gt;5000,"High","Normal")</f>
        <v>High</v>
      </c>
      <c r="I11" s="0" t="str">
        <f aca="false">VLOOKUP(B11,Product!$A$2:$E$11,3,FALSE())</f>
        <v>Gym</v>
      </c>
      <c r="J11" s="0" t="n">
        <f aca="false">VLOOKUP(B11,Product!$A$2:$E$11,5,FALSE())</f>
        <v>6</v>
      </c>
      <c r="K11" s="0" t="str">
        <f aca="false">INDEX(Customers!$D$2:$D$50,MATCH(C11,Customers!$A$2:$A$50,0))</f>
        <v>01000000004</v>
      </c>
      <c r="L11" s="0" t="str">
        <f aca="false">INDEX(Customers!$C$2:$C$50,MATCH(C11,Customers!$A$2:$A$50,0))</f>
        <v>Alexandria</v>
      </c>
      <c r="M11" s="0" t="n">
        <f aca="false">IFERROR(AVERAGEIF(Purchases!$C$2:$C$50,B11,Purchases!$E$2:$E$50),0)</f>
        <v>22000</v>
      </c>
      <c r="N11" s="0" t="n">
        <f aca="false">F11-(D11*M11)</f>
        <v>6000</v>
      </c>
      <c r="O11" s="4" t="n">
        <f aca="false">IFERROR(N11/F11,0)</f>
        <v>0.214285714285714</v>
      </c>
    </row>
    <row r="12" customFormat="false" ht="15" hidden="false" customHeight="false" outlineLevel="0" collapsed="false">
      <c r="A12" s="0" t="n">
        <v>111</v>
      </c>
      <c r="B12" s="0" t="n">
        <v>9</v>
      </c>
      <c r="C12" s="0" t="n">
        <v>5</v>
      </c>
      <c r="D12" s="0" t="n">
        <v>3</v>
      </c>
      <c r="E12" s="0" t="n">
        <v>1200</v>
      </c>
      <c r="F12" s="0" t="n">
        <f aca="false">D12*E12</f>
        <v>3600</v>
      </c>
      <c r="G12" s="3" t="n">
        <v>46116</v>
      </c>
      <c r="H12" s="2" t="str">
        <f aca="false">IF(F12&gt;5000,"High","Normal")</f>
        <v>Normal</v>
      </c>
      <c r="I12" s="0" t="str">
        <f aca="false">VLOOKUP(B12,Product!$A$2:$E$11,3,FALSE())</f>
        <v>Swimming</v>
      </c>
      <c r="J12" s="0" t="n">
        <f aca="false">VLOOKUP(B12,Product!$A$2:$E$11,5,FALSE())</f>
        <v>8</v>
      </c>
      <c r="K12" s="0" t="str">
        <f aca="false">INDEX(Customers!$D$2:$D$50,MATCH(C12,Customers!$A$2:$A$50,0))</f>
        <v>01000000005</v>
      </c>
      <c r="L12" s="0" t="str">
        <f aca="false">INDEX(Customers!$C$2:$C$50,MATCH(C12,Customers!$A$2:$A$50,0))</f>
        <v>Cairo</v>
      </c>
      <c r="M12" s="0" t="n">
        <f aca="false">IFERROR(AVERAGEIF(Purchases!$C$2:$C$50,B12,Purchases!$E$2:$E$50),0)</f>
        <v>850</v>
      </c>
      <c r="N12" s="0" t="n">
        <f aca="false">F12-(D12*M12)</f>
        <v>1050</v>
      </c>
      <c r="O12" s="4" t="n">
        <f aca="false">IFERROR(N12/F12,0)</f>
        <v>0.291666666666667</v>
      </c>
    </row>
    <row r="13" customFormat="false" ht="15" hidden="false" customHeight="false" outlineLevel="0" collapsed="false">
      <c r="A13" s="0" t="n">
        <v>112</v>
      </c>
      <c r="B13" s="0" t="n">
        <v>3</v>
      </c>
      <c r="C13" s="0" t="n">
        <v>1</v>
      </c>
      <c r="D13" s="0" t="n">
        <v>2</v>
      </c>
      <c r="E13" s="0" t="n">
        <v>450</v>
      </c>
      <c r="F13" s="0" t="n">
        <f aca="false">D13*E13</f>
        <v>900</v>
      </c>
      <c r="G13" s="3" t="n">
        <v>46123</v>
      </c>
      <c r="H13" s="2" t="str">
        <f aca="false">IF(F13&gt;5000,"High","Normal")</f>
        <v>Normal</v>
      </c>
      <c r="I13" s="0" t="str">
        <f aca="false">VLOOKUP(B13,Product!$A$2:$E$11,3,FALSE())</f>
        <v>Gym</v>
      </c>
      <c r="J13" s="0" t="n">
        <f aca="false">VLOOKUP(B13,Product!$A$2:$E$11,5,FALSE())</f>
        <v>200</v>
      </c>
      <c r="K13" s="0" t="str">
        <f aca="false">INDEX(Customers!$D$2:$D$50,MATCH(C13,Customers!$A$2:$A$50,0))</f>
        <v>01000000001</v>
      </c>
      <c r="L13" s="0" t="str">
        <f aca="false">INDEX(Customers!$C$2:$C$50,MATCH(C13,Customers!$A$2:$A$50,0))</f>
        <v>Mansoura</v>
      </c>
      <c r="M13" s="0" t="n">
        <f aca="false">IFERROR(AVERAGEIF(Purchases!$C$2:$C$50,B13,Purchases!$E$2:$E$50),0)</f>
        <v>280</v>
      </c>
      <c r="N13" s="0" t="n">
        <f aca="false">F13-(D13*M13)</f>
        <v>340</v>
      </c>
      <c r="O13" s="4" t="n">
        <f aca="false">IFERROR(N13/F13,0)</f>
        <v>0.377777777777778</v>
      </c>
    </row>
    <row r="14" customFormat="false" ht="15" hidden="false" customHeight="false" outlineLevel="0" collapsed="false">
      <c r="A14" s="0" t="n">
        <v>113</v>
      </c>
      <c r="B14" s="0" t="n">
        <v>4</v>
      </c>
      <c r="C14" s="0" t="n">
        <v>2</v>
      </c>
      <c r="D14" s="0" t="n">
        <v>1</v>
      </c>
      <c r="E14" s="0" t="n">
        <v>18000</v>
      </c>
      <c r="F14" s="0" t="n">
        <f aca="false">D14*E14</f>
        <v>18000</v>
      </c>
      <c r="G14" s="3" t="n">
        <v>46131</v>
      </c>
      <c r="H14" s="2" t="str">
        <f aca="false">IF(F14&gt;5000,"High","Normal")</f>
        <v>High</v>
      </c>
      <c r="I14" s="0" t="str">
        <f aca="false">VLOOKUP(B14,Product!$A$2:$E$11,3,FALSE())</f>
        <v>Cycling</v>
      </c>
      <c r="J14" s="0" t="n">
        <f aca="false">VLOOKUP(B14,Product!$A$2:$E$11,5,FALSE())</f>
        <v>9</v>
      </c>
      <c r="K14" s="0" t="str">
        <f aca="false">INDEX(Customers!$D$2:$D$50,MATCH(C14,Customers!$A$2:$A$50,0))</f>
        <v>01000000002</v>
      </c>
      <c r="L14" s="0" t="str">
        <f aca="false">INDEX(Customers!$C$2:$C$50,MATCH(C14,Customers!$A$2:$A$50,0))</f>
        <v>Cairo</v>
      </c>
      <c r="M14" s="0" t="n">
        <f aca="false">IFERROR(AVERAGEIF(Purchases!$C$2:$C$50,B14,Purchases!$E$2:$E$50),0)</f>
        <v>14000</v>
      </c>
      <c r="N14" s="0" t="n">
        <f aca="false">F14-(D14*M14)</f>
        <v>4000</v>
      </c>
      <c r="O14" s="4" t="n">
        <f aca="false">IFERROR(N14/F14,0)</f>
        <v>0.222222222222222</v>
      </c>
    </row>
    <row r="15" customFormat="false" ht="15" hidden="false" customHeight="false" outlineLevel="0" collapsed="false">
      <c r="A15" s="0" t="n">
        <v>114</v>
      </c>
      <c r="B15" s="0" t="n">
        <v>6</v>
      </c>
      <c r="C15" s="0" t="n">
        <v>3</v>
      </c>
      <c r="D15" s="0" t="n">
        <v>25</v>
      </c>
      <c r="E15" s="0" t="n">
        <v>650</v>
      </c>
      <c r="F15" s="0" t="n">
        <f aca="false">D15*E15</f>
        <v>16250</v>
      </c>
      <c r="G15" s="3" t="n">
        <v>46144</v>
      </c>
      <c r="H15" s="2" t="str">
        <f aca="false">IF(F15&gt;5000,"High","Normal")</f>
        <v>High</v>
      </c>
      <c r="I15" s="0" t="str">
        <f aca="false">VLOOKUP(B15,Product!$A$2:$E$11,3,FALSE())</f>
        <v>Swimming</v>
      </c>
      <c r="J15" s="0" t="n">
        <f aca="false">VLOOKUP(B15,Product!$A$2:$E$11,5,FALSE())</f>
        <v>150</v>
      </c>
      <c r="K15" s="0" t="str">
        <f aca="false">INDEX(Customers!$D$2:$D$50,MATCH(C15,Customers!$A$2:$A$50,0))</f>
        <v>01000000003</v>
      </c>
      <c r="L15" s="0" t="str">
        <f aca="false">INDEX(Customers!$C$2:$C$50,MATCH(C15,Customers!$A$2:$A$50,0))</f>
        <v>Mansoura</v>
      </c>
      <c r="M15" s="0" t="n">
        <f aca="false">IFERROR(AVERAGEIF(Purchases!$C$2:$C$50,B15,Purchases!$E$2:$E$50),0)</f>
        <v>400</v>
      </c>
      <c r="N15" s="0" t="n">
        <f aca="false">F15-(D15*M15)</f>
        <v>6250</v>
      </c>
      <c r="O15" s="4" t="n">
        <f aca="false">IFERROR(N15/F15,0)</f>
        <v>0.384615384615385</v>
      </c>
    </row>
    <row r="16" customFormat="false" ht="15" hidden="false" customHeight="false" outlineLevel="0" collapsed="false">
      <c r="A16" s="0" t="n">
        <v>115</v>
      </c>
      <c r="B16" s="0" t="n">
        <v>8</v>
      </c>
      <c r="C16" s="0" t="n">
        <v>6</v>
      </c>
      <c r="D16" s="0" t="n">
        <v>1</v>
      </c>
      <c r="E16" s="0" t="n">
        <v>2500</v>
      </c>
      <c r="F16" s="0" t="n">
        <f aca="false">D16*E16</f>
        <v>2500</v>
      </c>
      <c r="G16" s="3" t="n">
        <v>46151</v>
      </c>
      <c r="H16" s="2" t="str">
        <f aca="false">IF(F16&gt;5000,"High","Normal")</f>
        <v>Normal</v>
      </c>
      <c r="I16" s="0" t="str">
        <f aca="false">VLOOKUP(B16,Product!$A$2:$E$11,3,FALSE())</f>
        <v>Football</v>
      </c>
      <c r="J16" s="0" t="n">
        <f aca="false">VLOOKUP(B16,Product!$A$2:$E$11,5,FALSE())</f>
        <v>45</v>
      </c>
      <c r="K16" s="0" t="str">
        <f aca="false">INDEX(Customers!$D$2:$D$50,MATCH(C16,Customers!$A$2:$A$50,0))</f>
        <v>01000000006</v>
      </c>
      <c r="L16" s="0" t="str">
        <f aca="false">INDEX(Customers!$C$2:$C$50,MATCH(C16,Customers!$A$2:$A$50,0))</f>
        <v>Mansoura</v>
      </c>
      <c r="M16" s="0" t="n">
        <f aca="false">IFERROR(AVERAGEIF(Purchases!$C$2:$C$50,B16,Purchases!$E$2:$E$50),0)</f>
        <v>1825</v>
      </c>
      <c r="N16" s="0" t="n">
        <f aca="false">F16-(D16*M16)</f>
        <v>675</v>
      </c>
      <c r="O16" s="4" t="n">
        <f aca="false">IFERROR(N16/F16,0)</f>
        <v>0.27</v>
      </c>
    </row>
    <row r="17" customFormat="false" ht="15" hidden="false" customHeight="false" outlineLevel="0" collapsed="false">
      <c r="A17" s="0" t="n">
        <v>116</v>
      </c>
      <c r="B17" s="0" t="n">
        <v>7</v>
      </c>
      <c r="C17" s="0" t="n">
        <v>4</v>
      </c>
      <c r="D17" s="0" t="n">
        <v>3</v>
      </c>
      <c r="E17" s="0" t="n">
        <v>800</v>
      </c>
      <c r="F17" s="0" t="n">
        <f aca="false">D17*E17</f>
        <v>2400</v>
      </c>
      <c r="G17" s="3" t="n">
        <v>46160</v>
      </c>
      <c r="H17" s="2" t="str">
        <f aca="false">IF(F17&gt;5000,"High","Normal")</f>
        <v>Normal</v>
      </c>
      <c r="I17" s="0" t="str">
        <f aca="false">VLOOKUP(B17,Product!$A$2:$E$11,3,FALSE())</f>
        <v>Football</v>
      </c>
      <c r="J17" s="0" t="n">
        <f aca="false">VLOOKUP(B17,Product!$A$2:$E$11,5,FALSE())</f>
        <v>120</v>
      </c>
      <c r="K17" s="0" t="str">
        <f aca="false">INDEX(Customers!$D$2:$D$50,MATCH(C17,Customers!$A$2:$A$50,0))</f>
        <v>01000000004</v>
      </c>
      <c r="L17" s="0" t="str">
        <f aca="false">INDEX(Customers!$C$2:$C$50,MATCH(C17,Customers!$A$2:$A$50,0))</f>
        <v>Alexandria</v>
      </c>
      <c r="M17" s="0" t="n">
        <f aca="false">IFERROR(AVERAGEIF(Purchases!$C$2:$C$50,B17,Purchases!$E$2:$E$50),0)</f>
        <v>490</v>
      </c>
      <c r="N17" s="0" t="n">
        <f aca="false">F17-(D17*M17)</f>
        <v>930</v>
      </c>
      <c r="O17" s="4" t="n">
        <f aca="false">IFERROR(N17/F17,0)</f>
        <v>0.3875</v>
      </c>
    </row>
    <row r="18" customFormat="false" ht="15" hidden="false" customHeight="false" outlineLevel="0" collapsed="false">
      <c r="A18" s="0" t="n">
        <v>117</v>
      </c>
      <c r="B18" s="0" t="n">
        <v>1</v>
      </c>
      <c r="C18" s="0" t="n">
        <v>5</v>
      </c>
      <c r="D18" s="0" t="n">
        <v>3</v>
      </c>
      <c r="E18" s="0" t="n">
        <v>28000</v>
      </c>
      <c r="F18" s="0" t="n">
        <f aca="false">D18*E18</f>
        <v>84000</v>
      </c>
      <c r="G18" s="3" t="n">
        <v>46174</v>
      </c>
      <c r="H18" s="2" t="str">
        <f aca="false">IF(F18&gt;5000,"High","Normal")</f>
        <v>High</v>
      </c>
      <c r="I18" s="0" t="str">
        <f aca="false">VLOOKUP(B18,Product!$A$2:$E$11,3,FALSE())</f>
        <v>Gym</v>
      </c>
      <c r="J18" s="0" t="n">
        <f aca="false">VLOOKUP(B18,Product!$A$2:$E$11,5,FALSE())</f>
        <v>6</v>
      </c>
      <c r="K18" s="0" t="str">
        <f aca="false">INDEX(Customers!$D$2:$D$50,MATCH(C18,Customers!$A$2:$A$50,0))</f>
        <v>01000000005</v>
      </c>
      <c r="L18" s="0" t="str">
        <f aca="false">INDEX(Customers!$C$2:$C$50,MATCH(C18,Customers!$A$2:$A$50,0))</f>
        <v>Cairo</v>
      </c>
      <c r="M18" s="0" t="n">
        <f aca="false">IFERROR(AVERAGEIF(Purchases!$C$2:$C$50,B18,Purchases!$E$2:$E$50),0)</f>
        <v>22000</v>
      </c>
      <c r="N18" s="0" t="n">
        <f aca="false">F18-(D18*M18)</f>
        <v>18000</v>
      </c>
      <c r="O18" s="4" t="n">
        <f aca="false">IFERROR(N18/F18,0)</f>
        <v>0.214285714285714</v>
      </c>
    </row>
    <row r="19" customFormat="false" ht="15" hidden="false" customHeight="false" outlineLevel="0" collapsed="false">
      <c r="A19" s="0" t="n">
        <v>118</v>
      </c>
      <c r="B19" s="0" t="n">
        <v>2</v>
      </c>
      <c r="C19" s="0" t="n">
        <v>6</v>
      </c>
      <c r="D19" s="0" t="n">
        <v>2</v>
      </c>
      <c r="E19" s="0" t="n">
        <v>8500</v>
      </c>
      <c r="F19" s="0" t="n">
        <f aca="false">D19*E19</f>
        <v>17000</v>
      </c>
      <c r="G19" s="3" t="n">
        <v>46185</v>
      </c>
      <c r="H19" s="2" t="str">
        <f aca="false">IF(F19&gt;5000,"High","Normal")</f>
        <v>High</v>
      </c>
      <c r="I19" s="0" t="str">
        <f aca="false">VLOOKUP(B19,Product!$A$2:$E$11,3,FALSE())</f>
        <v>Running</v>
      </c>
      <c r="J19" s="0" t="n">
        <f aca="false">VLOOKUP(B19,Product!$A$2:$E$11,5,FALSE())</f>
        <v>25</v>
      </c>
      <c r="K19" s="0" t="str">
        <f aca="false">INDEX(Customers!$D$2:$D$50,MATCH(C19,Customers!$A$2:$A$50,0))</f>
        <v>01000000006</v>
      </c>
      <c r="L19" s="0" t="str">
        <f aca="false">INDEX(Customers!$C$2:$C$50,MATCH(C19,Customers!$A$2:$A$50,0))</f>
        <v>Mansoura</v>
      </c>
      <c r="M19" s="0" t="n">
        <f aca="false">IFERROR(AVERAGEIF(Purchases!$C$2:$C$50,B19,Purchases!$E$2:$E$50),0)</f>
        <v>6500</v>
      </c>
      <c r="N19" s="0" t="n">
        <f aca="false">F19-(D19*M19)</f>
        <v>4000</v>
      </c>
      <c r="O19" s="4" t="n">
        <f aca="false">IFERROR(N19/F19,0)</f>
        <v>0.235294117647059</v>
      </c>
    </row>
    <row r="20" customFormat="false" ht="15" hidden="false" customHeight="false" outlineLevel="0" collapsed="false">
      <c r="A20" s="0" t="n">
        <v>119</v>
      </c>
      <c r="B20" s="0" t="n">
        <v>10</v>
      </c>
      <c r="C20" s="0" t="n">
        <v>1</v>
      </c>
      <c r="D20" s="0" t="n">
        <v>5</v>
      </c>
      <c r="E20" s="0" t="n">
        <v>1800</v>
      </c>
      <c r="F20" s="0" t="n">
        <f aca="false">D20*E20</f>
        <v>9000</v>
      </c>
      <c r="G20" s="3" t="n">
        <v>46193</v>
      </c>
      <c r="H20" s="2" t="str">
        <f aca="false">IF(F20&gt;5000,"High","Normal")</f>
        <v>High</v>
      </c>
      <c r="I20" s="0" t="str">
        <f aca="false">VLOOKUP(B20,Product!$A$2:$E$11,3,FALSE())</f>
        <v>Gym</v>
      </c>
      <c r="J20" s="0" t="n">
        <f aca="false">VLOOKUP(B20,Product!$A$2:$E$11,5,FALSE())</f>
        <v>30</v>
      </c>
      <c r="K20" s="0" t="str">
        <f aca="false">INDEX(Customers!$D$2:$D$50,MATCH(C20,Customers!$A$2:$A$50,0))</f>
        <v>01000000001</v>
      </c>
      <c r="L20" s="0" t="str">
        <f aca="false">INDEX(Customers!$C$2:$C$50,MATCH(C20,Customers!$A$2:$A$50,0))</f>
        <v>Mansoura</v>
      </c>
      <c r="M20" s="0" t="n">
        <f aca="false">IFERROR(AVERAGEIF(Purchases!$C$2:$C$50,B20,Purchases!$E$2:$E$50),0)</f>
        <v>1300</v>
      </c>
      <c r="N20" s="0" t="n">
        <f aca="false">F20-(D20*M20)</f>
        <v>2500</v>
      </c>
      <c r="O20" s="4" t="n">
        <f aca="false">IFERROR(N20/F20,0)</f>
        <v>0.277777777777778</v>
      </c>
    </row>
    <row r="21" customFormat="false" ht="15" hidden="false" customHeight="false" outlineLevel="0" collapsed="false">
      <c r="A21" s="0" t="n">
        <v>120</v>
      </c>
      <c r="B21" s="0" t="n">
        <v>5</v>
      </c>
      <c r="C21" s="0" t="n">
        <v>2</v>
      </c>
      <c r="D21" s="0" t="n">
        <v>1</v>
      </c>
      <c r="E21" s="0" t="n">
        <v>3200</v>
      </c>
      <c r="F21" s="0" t="n">
        <f aca="false">D21*E21</f>
        <v>3200</v>
      </c>
      <c r="G21" s="3" t="n">
        <v>46201</v>
      </c>
      <c r="H21" s="2" t="str">
        <f aca="false">IF(F21&gt;5000,"High","Normal")</f>
        <v>Normal</v>
      </c>
      <c r="I21" s="0" t="str">
        <f aca="false">VLOOKUP(B21,Product!$A$2:$E$11,3,FALSE())</f>
        <v>Running</v>
      </c>
      <c r="J21" s="0" t="n">
        <f aca="false">VLOOKUP(B21,Product!$A$2:$E$11,5,FALSE())</f>
        <v>60</v>
      </c>
      <c r="K21" s="0" t="str">
        <f aca="false">INDEX(Customers!$D$2:$D$50,MATCH(C21,Customers!$A$2:$A$50,0))</f>
        <v>01000000002</v>
      </c>
      <c r="L21" s="0" t="str">
        <f aca="false">INDEX(Customers!$C$2:$C$50,MATCH(C21,Customers!$A$2:$A$50,0))</f>
        <v>Cairo</v>
      </c>
      <c r="M21" s="0" t="n">
        <f aca="false">IFERROR(AVERAGEIF(Purchases!$C$2:$C$50,B21,Purchases!$E$2:$E$50),0)</f>
        <v>2300</v>
      </c>
      <c r="N21" s="0" t="n">
        <f aca="false">F21-(D21*M21)</f>
        <v>900</v>
      </c>
      <c r="O21" s="4" t="n">
        <f aca="false">IFERROR(N21/F21,0)</f>
        <v>0.28125</v>
      </c>
    </row>
  </sheetData>
  <conditionalFormatting sqref="H2:H21">
    <cfRule type="cellIs" priority="2" operator="equal" aboveAverage="0" equalAverage="0" bottom="0" percent="0" rank="0" text="" dxfId="1">
      <formula>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30"/>
    <col collapsed="false" customWidth="true" hidden="false" outlineLevel="0" max="7" min="7" style="0" width="23"/>
  </cols>
  <sheetData>
    <row r="1" customFormat="false" ht="15" hidden="false" customHeight="false" outlineLevel="0" collapsed="false">
      <c r="A1" s="1" t="s">
        <v>24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customFormat="false" ht="15" hidden="false" customHeight="false" outlineLevel="0" collapsed="false">
      <c r="A2" s="0" t="n">
        <v>1</v>
      </c>
      <c r="B2" s="0" t="s">
        <v>42</v>
      </c>
      <c r="C2" s="0" t="s">
        <v>43</v>
      </c>
      <c r="D2" s="0" t="s">
        <v>44</v>
      </c>
      <c r="E2" s="5" t="n">
        <f aca="false">SUMIF(Sales!$C$2:$C$50,A2,Sales!$F$2:$F$50)</f>
        <v>74400</v>
      </c>
      <c r="F2" s="2" t="str">
        <f aca="false">IF(E2&gt;10000,"Loyal","Regular")</f>
        <v>Loyal</v>
      </c>
      <c r="G2" s="0" t="n">
        <f aca="false">RANK(E2,$E$2:$E$7,0)</f>
        <v>2</v>
      </c>
    </row>
    <row r="3" customFormat="false" ht="15" hidden="false" customHeight="false" outlineLevel="0" collapsed="false">
      <c r="A3" s="0" t="n">
        <v>2</v>
      </c>
      <c r="B3" s="0" t="s">
        <v>45</v>
      </c>
      <c r="C3" s="0" t="s">
        <v>46</v>
      </c>
      <c r="D3" s="0" t="s">
        <v>47</v>
      </c>
      <c r="E3" s="5" t="n">
        <f aca="false">SUMIF(Sales!$C$2:$C$50,A3,Sales!$F$2:$F$50)</f>
        <v>27800</v>
      </c>
      <c r="F3" s="2" t="str">
        <f aca="false">IF(E3&gt;10000,"Loyal","Regular")</f>
        <v>Loyal</v>
      </c>
      <c r="G3" s="0" t="n">
        <f aca="false">RANK(E3,$E$2:$E$7,0)</f>
        <v>6</v>
      </c>
    </row>
    <row r="4" customFormat="false" ht="15" hidden="false" customHeight="false" outlineLevel="0" collapsed="false">
      <c r="A4" s="0" t="n">
        <v>3</v>
      </c>
      <c r="B4" s="0" t="s">
        <v>48</v>
      </c>
      <c r="C4" s="0" t="s">
        <v>43</v>
      </c>
      <c r="D4" s="0" t="s">
        <v>49</v>
      </c>
      <c r="E4" s="5" t="n">
        <f aca="false">SUMIF(Sales!$C$2:$C$50,A4,Sales!$F$2:$F$50)</f>
        <v>37450</v>
      </c>
      <c r="F4" s="2" t="str">
        <f aca="false">IF(E4&gt;10000,"Loyal","Regular")</f>
        <v>Loyal</v>
      </c>
      <c r="G4" s="0" t="n">
        <f aca="false">RANK(E4,$E$2:$E$7,0)</f>
        <v>5</v>
      </c>
    </row>
    <row r="5" customFormat="false" ht="15" hidden="false" customHeight="false" outlineLevel="0" collapsed="false">
      <c r="A5" s="0" t="n">
        <v>4</v>
      </c>
      <c r="B5" s="0" t="s">
        <v>50</v>
      </c>
      <c r="C5" s="0" t="s">
        <v>51</v>
      </c>
      <c r="D5" s="0" t="s">
        <v>52</v>
      </c>
      <c r="E5" s="5" t="n">
        <f aca="false">SUMIF(Sales!$C$2:$C$50,A5,Sales!$F$2:$F$50)</f>
        <v>62900</v>
      </c>
      <c r="F5" s="2" t="str">
        <f aca="false">IF(E5&gt;10000,"Loyal","Regular")</f>
        <v>Loyal</v>
      </c>
      <c r="G5" s="0" t="n">
        <f aca="false">RANK(E5,$E$2:$E$7,0)</f>
        <v>3</v>
      </c>
    </row>
    <row r="6" customFormat="false" ht="15" hidden="false" customHeight="false" outlineLevel="0" collapsed="false">
      <c r="A6" s="0" t="n">
        <v>5</v>
      </c>
      <c r="B6" s="0" t="s">
        <v>53</v>
      </c>
      <c r="C6" s="0" t="s">
        <v>46</v>
      </c>
      <c r="D6" s="0" t="s">
        <v>54</v>
      </c>
      <c r="E6" s="5" t="n">
        <f aca="false">SUMIF(Sales!$C$2:$C$50,A6,Sales!$F$2:$F$50)</f>
        <v>92600</v>
      </c>
      <c r="F6" s="2" t="str">
        <f aca="false">IF(E6&gt;10000,"Loyal","Regular")</f>
        <v>Loyal</v>
      </c>
      <c r="G6" s="0" t="n">
        <f aca="false">RANK(E6,$E$2:$E$7,0)</f>
        <v>1</v>
      </c>
    </row>
    <row r="7" customFormat="false" ht="15" hidden="false" customHeight="false" outlineLevel="0" collapsed="false">
      <c r="A7" s="0" t="n">
        <v>6</v>
      </c>
      <c r="B7" s="0" t="s">
        <v>55</v>
      </c>
      <c r="C7" s="0" t="s">
        <v>43</v>
      </c>
      <c r="D7" s="0" t="s">
        <v>56</v>
      </c>
      <c r="E7" s="5" t="n">
        <f aca="false">SUMIF(Sales!$C$2:$C$50,A7,Sales!$F$2:$F$50)</f>
        <v>37500</v>
      </c>
      <c r="F7" s="2" t="str">
        <f aca="false">IF(E7&gt;10000,"Loyal","Regular")</f>
        <v>Loyal</v>
      </c>
      <c r="G7" s="0" t="n">
        <f aca="false">RANK(E7,$E$2:$E$7,0)</f>
        <v>4</v>
      </c>
    </row>
  </sheetData>
  <conditionalFormatting sqref="F2:F7">
    <cfRule type="cellIs" priority="2" operator="equal" aboveAverage="0" equalAverage="0" bottom="0" percent="0" rank="0" text="" dxfId="1">
      <formula>"Loyal"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9" min="8" style="0" width="30"/>
  </cols>
  <sheetData>
    <row r="1" customFormat="false" ht="15" hidden="false" customHeight="false" outlineLevel="0" collapsed="false">
      <c r="A1" s="1" t="s">
        <v>57</v>
      </c>
      <c r="B1" s="1" t="s">
        <v>58</v>
      </c>
      <c r="C1" s="1" t="s">
        <v>0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29</v>
      </c>
    </row>
    <row r="2" customFormat="false" ht="15" hidden="false" customHeight="false" outlineLevel="0" collapsed="false">
      <c r="A2" s="0" t="n">
        <v>201</v>
      </c>
      <c r="B2" s="0" t="s">
        <v>64</v>
      </c>
      <c r="C2" s="0" t="n">
        <v>7</v>
      </c>
      <c r="D2" s="0" t="n">
        <v>300</v>
      </c>
      <c r="E2" s="0" t="n">
        <v>500</v>
      </c>
      <c r="F2" s="0" t="n">
        <f aca="false">D2*E2</f>
        <v>150000</v>
      </c>
      <c r="G2" s="3" t="n">
        <v>45992</v>
      </c>
      <c r="H2" s="0" t="str">
        <f aca="false">IF(F2&gt;10000,"Bulk","Normal")</f>
        <v>Bulk</v>
      </c>
      <c r="I2" s="0" t="str">
        <f aca="false">VLOOKUP(C2,Product!$A$2:$C$11,3,FALSE())</f>
        <v>Football</v>
      </c>
    </row>
    <row r="3" customFormat="false" ht="15" hidden="false" customHeight="false" outlineLevel="0" collapsed="false">
      <c r="A3" s="0" t="n">
        <v>202</v>
      </c>
      <c r="B3" s="0" t="s">
        <v>65</v>
      </c>
      <c r="C3" s="0" t="n">
        <v>8</v>
      </c>
      <c r="D3" s="0" t="n">
        <v>100</v>
      </c>
      <c r="E3" s="0" t="n">
        <v>1800</v>
      </c>
      <c r="F3" s="0" t="n">
        <f aca="false">D3*E3</f>
        <v>180000</v>
      </c>
      <c r="G3" s="3" t="n">
        <v>45996</v>
      </c>
      <c r="H3" s="0" t="str">
        <f aca="false">IF(F3&gt;10000,"Bulk","Normal")</f>
        <v>Bulk</v>
      </c>
      <c r="I3" s="0" t="str">
        <f aca="false">VLOOKUP(C3,Product!$A$2:$C$11,3,FALSE())</f>
        <v>Football</v>
      </c>
    </row>
    <row r="4" customFormat="false" ht="15" hidden="false" customHeight="false" outlineLevel="0" collapsed="false">
      <c r="A4" s="0" t="n">
        <v>203</v>
      </c>
      <c r="B4" s="0" t="s">
        <v>66</v>
      </c>
      <c r="C4" s="0" t="n">
        <v>1</v>
      </c>
      <c r="D4" s="0" t="n">
        <v>10</v>
      </c>
      <c r="E4" s="0" t="n">
        <v>22000</v>
      </c>
      <c r="F4" s="0" t="n">
        <f aca="false">D4*E4</f>
        <v>220000</v>
      </c>
      <c r="G4" s="3" t="n">
        <v>46001</v>
      </c>
      <c r="H4" s="0" t="str">
        <f aca="false">IF(F4&gt;10000,"Bulk","Normal")</f>
        <v>Bulk</v>
      </c>
      <c r="I4" s="0" t="str">
        <f aca="false">VLOOKUP(C4,Product!$A$2:$C$11,3,FALSE())</f>
        <v>Gym</v>
      </c>
    </row>
    <row r="5" customFormat="false" ht="15" hidden="false" customHeight="false" outlineLevel="0" collapsed="false">
      <c r="A5" s="0" t="n">
        <v>204</v>
      </c>
      <c r="B5" s="0" t="s">
        <v>66</v>
      </c>
      <c r="C5" s="0" t="n">
        <v>10</v>
      </c>
      <c r="D5" s="0" t="n">
        <v>80</v>
      </c>
      <c r="E5" s="0" t="n">
        <v>1300</v>
      </c>
      <c r="F5" s="0" t="n">
        <f aca="false">D5*E5</f>
        <v>104000</v>
      </c>
      <c r="G5" s="3" t="n">
        <v>46006</v>
      </c>
      <c r="H5" s="0" t="str">
        <f aca="false">IF(F5&gt;10000,"Bulk","Normal")</f>
        <v>Bulk</v>
      </c>
      <c r="I5" s="0" t="str">
        <f aca="false">VLOOKUP(C5,Product!$A$2:$C$11,3,FALSE())</f>
        <v>Gym</v>
      </c>
    </row>
    <row r="6" customFormat="false" ht="15" hidden="false" customHeight="false" outlineLevel="0" collapsed="false">
      <c r="A6" s="0" t="n">
        <v>205</v>
      </c>
      <c r="B6" s="0" t="s">
        <v>67</v>
      </c>
      <c r="C6" s="0" t="n">
        <v>3</v>
      </c>
      <c r="D6" s="0" t="n">
        <v>500</v>
      </c>
      <c r="E6" s="0" t="n">
        <v>280</v>
      </c>
      <c r="F6" s="0" t="n">
        <f aca="false">D6*E6</f>
        <v>140000</v>
      </c>
      <c r="G6" s="3" t="n">
        <v>46009</v>
      </c>
      <c r="H6" s="0" t="str">
        <f aca="false">IF(F6&gt;10000,"Bulk","Normal")</f>
        <v>Bulk</v>
      </c>
      <c r="I6" s="0" t="str">
        <f aca="false">VLOOKUP(C6,Product!$A$2:$C$11,3,FALSE())</f>
        <v>Gym</v>
      </c>
    </row>
    <row r="7" customFormat="false" ht="15" hidden="false" customHeight="false" outlineLevel="0" collapsed="false">
      <c r="A7" s="0" t="n">
        <v>206</v>
      </c>
      <c r="B7" s="0" t="s">
        <v>67</v>
      </c>
      <c r="C7" s="0" t="n">
        <v>6</v>
      </c>
      <c r="D7" s="0" t="n">
        <v>400</v>
      </c>
      <c r="E7" s="0" t="n">
        <v>400</v>
      </c>
      <c r="F7" s="0" t="n">
        <f aca="false">D7*E7</f>
        <v>160000</v>
      </c>
      <c r="G7" s="3" t="n">
        <v>46013</v>
      </c>
      <c r="H7" s="0" t="str">
        <f aca="false">IF(F7&gt;10000,"Bulk","Normal")</f>
        <v>Bulk</v>
      </c>
      <c r="I7" s="0" t="str">
        <f aca="false">VLOOKUP(C7,Product!$A$2:$C$11,3,FALSE())</f>
        <v>Swimming</v>
      </c>
    </row>
    <row r="8" customFormat="false" ht="15" hidden="false" customHeight="false" outlineLevel="0" collapsed="false">
      <c r="A8" s="0" t="n">
        <v>207</v>
      </c>
      <c r="B8" s="0" t="s">
        <v>68</v>
      </c>
      <c r="C8" s="0" t="n">
        <v>2</v>
      </c>
      <c r="D8" s="0" t="n">
        <v>40</v>
      </c>
      <c r="E8" s="0" t="n">
        <v>6500</v>
      </c>
      <c r="F8" s="0" t="n">
        <f aca="false">D8*E8</f>
        <v>260000</v>
      </c>
      <c r="G8" s="3" t="n">
        <v>46027</v>
      </c>
      <c r="H8" s="0" t="str">
        <f aca="false">IF(F8&gt;10000,"Bulk","Normal")</f>
        <v>Bulk</v>
      </c>
      <c r="I8" s="0" t="str">
        <f aca="false">VLOOKUP(C8,Product!$A$2:$C$11,3,FALSE())</f>
        <v>Running</v>
      </c>
    </row>
    <row r="9" customFormat="false" ht="15" hidden="false" customHeight="false" outlineLevel="0" collapsed="false">
      <c r="A9" s="0" t="n">
        <v>208</v>
      </c>
      <c r="B9" s="0" t="s">
        <v>69</v>
      </c>
      <c r="C9" s="0" t="n">
        <v>4</v>
      </c>
      <c r="D9" s="0" t="n">
        <v>15</v>
      </c>
      <c r="E9" s="0" t="n">
        <v>14000</v>
      </c>
      <c r="F9" s="0" t="n">
        <f aca="false">D9*E9</f>
        <v>210000</v>
      </c>
      <c r="G9" s="3" t="n">
        <v>46034</v>
      </c>
      <c r="H9" s="0" t="str">
        <f aca="false">IF(F9&gt;10000,"Bulk","Normal")</f>
        <v>Bulk</v>
      </c>
      <c r="I9" s="0" t="str">
        <f aca="false">VLOOKUP(C9,Product!$A$2:$C$11,3,FALSE())</f>
        <v>Cycling</v>
      </c>
    </row>
    <row r="10" customFormat="false" ht="15" hidden="false" customHeight="false" outlineLevel="0" collapsed="false">
      <c r="A10" s="0" t="n">
        <v>209</v>
      </c>
      <c r="B10" s="0" t="s">
        <v>66</v>
      </c>
      <c r="C10" s="0" t="n">
        <v>5</v>
      </c>
      <c r="D10" s="0" t="n">
        <v>80</v>
      </c>
      <c r="E10" s="0" t="n">
        <v>2300</v>
      </c>
      <c r="F10" s="0" t="n">
        <f aca="false">D10*E10</f>
        <v>184000</v>
      </c>
      <c r="G10" s="3" t="n">
        <v>46040</v>
      </c>
      <c r="H10" s="0" t="str">
        <f aca="false">IF(F10&gt;10000,"Bulk","Normal")</f>
        <v>Bulk</v>
      </c>
      <c r="I10" s="0" t="str">
        <f aca="false">VLOOKUP(C10,Product!$A$2:$C$11,3,FALSE())</f>
        <v>Running</v>
      </c>
    </row>
    <row r="11" customFormat="false" ht="15" hidden="false" customHeight="false" outlineLevel="0" collapsed="false">
      <c r="A11" s="0" t="n">
        <v>210</v>
      </c>
      <c r="B11" s="0" t="s">
        <v>67</v>
      </c>
      <c r="C11" s="0" t="n">
        <v>9</v>
      </c>
      <c r="D11" s="0" t="n">
        <v>30</v>
      </c>
      <c r="E11" s="0" t="n">
        <v>850</v>
      </c>
      <c r="F11" s="0" t="n">
        <f aca="false">D11*E11</f>
        <v>25500</v>
      </c>
      <c r="G11" s="3" t="n">
        <v>46055</v>
      </c>
      <c r="H11" s="0" t="str">
        <f aca="false">IF(F11&gt;10000,"Bulk","Normal")</f>
        <v>Bulk</v>
      </c>
      <c r="I11" s="0" t="str">
        <f aca="false">VLOOKUP(C11,Product!$A$2:$C$11,3,FALSE())</f>
        <v>Swimming</v>
      </c>
    </row>
    <row r="12" customFormat="false" ht="15" hidden="false" customHeight="false" outlineLevel="0" collapsed="false">
      <c r="A12" s="0" t="n">
        <v>211</v>
      </c>
      <c r="B12" s="0" t="s">
        <v>64</v>
      </c>
      <c r="C12" s="0" t="n">
        <v>7</v>
      </c>
      <c r="D12" s="0" t="n">
        <v>200</v>
      </c>
      <c r="E12" s="0" t="n">
        <v>480</v>
      </c>
      <c r="F12" s="0" t="n">
        <f aca="false">D12*E12</f>
        <v>96000</v>
      </c>
      <c r="G12" s="3" t="n">
        <v>46067</v>
      </c>
      <c r="H12" s="0" t="str">
        <f aca="false">IF(F12&gt;10000,"Bulk","Normal")</f>
        <v>Bulk</v>
      </c>
      <c r="I12" s="0" t="str">
        <f aca="false">VLOOKUP(C12,Product!$A$2:$C$11,3,FALSE())</f>
        <v>Football</v>
      </c>
    </row>
    <row r="13" customFormat="false" ht="15" hidden="false" customHeight="false" outlineLevel="0" collapsed="false">
      <c r="A13" s="0" t="n">
        <v>212</v>
      </c>
      <c r="B13" s="0" t="s">
        <v>65</v>
      </c>
      <c r="C13" s="0" t="n">
        <v>8</v>
      </c>
      <c r="D13" s="0" t="n">
        <v>50</v>
      </c>
      <c r="E13" s="0" t="n">
        <v>1850</v>
      </c>
      <c r="F13" s="0" t="n">
        <f aca="false">D13*E13</f>
        <v>92500</v>
      </c>
      <c r="G13" s="3" t="n">
        <v>46084</v>
      </c>
      <c r="H13" s="0" t="str">
        <f aca="false">IF(F13&gt;10000,"Bulk","Normal")</f>
        <v>Bulk</v>
      </c>
      <c r="I13" s="0" t="str">
        <f aca="false">VLOOKUP(C13,Product!$A$2:$C$11,3,FALSE())</f>
        <v>Football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9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27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customFormat="false" ht="15" hidden="false" customHeight="false" outlineLevel="0" collapsed="false">
      <c r="A2" s="0" t="n">
        <v>301</v>
      </c>
      <c r="B2" s="0" t="s">
        <v>78</v>
      </c>
      <c r="C2" s="0" t="n">
        <v>12000</v>
      </c>
      <c r="D2" s="3" t="n">
        <v>46023</v>
      </c>
      <c r="E2" s="0" t="s">
        <v>79</v>
      </c>
      <c r="F2" s="2" t="str">
        <f aca="false">IF(C2&gt;2000,"Check","OK")</f>
        <v>Check</v>
      </c>
      <c r="G2" s="0" t="s">
        <v>80</v>
      </c>
      <c r="H2" s="0" t="n">
        <f aca="false">IF(G2="No",C2*0.9,C2)</f>
        <v>12000</v>
      </c>
    </row>
    <row r="3" customFormat="false" ht="15" hidden="false" customHeight="false" outlineLevel="0" collapsed="false">
      <c r="A3" s="0" t="n">
        <v>302</v>
      </c>
      <c r="B3" s="0" t="s">
        <v>81</v>
      </c>
      <c r="C3" s="0" t="n">
        <v>22000</v>
      </c>
      <c r="D3" s="3" t="n">
        <v>46027</v>
      </c>
      <c r="E3" s="0" t="s">
        <v>82</v>
      </c>
      <c r="F3" s="2" t="str">
        <f aca="false">IF(C3&gt;2000,"Check","OK")</f>
        <v>Check</v>
      </c>
      <c r="G3" s="0" t="s">
        <v>80</v>
      </c>
      <c r="H3" s="0" t="n">
        <f aca="false">IF(G3="No",C3*0.9,C3)</f>
        <v>22000</v>
      </c>
    </row>
    <row r="4" customFormat="false" ht="15" hidden="false" customHeight="false" outlineLevel="0" collapsed="false">
      <c r="A4" s="0" t="n">
        <v>303</v>
      </c>
      <c r="B4" s="0" t="s">
        <v>83</v>
      </c>
      <c r="C4" s="0" t="n">
        <v>3000</v>
      </c>
      <c r="D4" s="3" t="n">
        <v>46032</v>
      </c>
      <c r="E4" s="0" t="s">
        <v>84</v>
      </c>
      <c r="F4" s="2" t="str">
        <f aca="false">IF(C4&gt;2000,"Check","OK")</f>
        <v>Check</v>
      </c>
      <c r="G4" s="0" t="s">
        <v>80</v>
      </c>
      <c r="H4" s="0" t="n">
        <f aca="false">IF(G4="No",C4*0.9,C4)</f>
        <v>3000</v>
      </c>
    </row>
    <row r="5" customFormat="false" ht="15" hidden="false" customHeight="false" outlineLevel="0" collapsed="false">
      <c r="A5" s="0" t="n">
        <v>304</v>
      </c>
      <c r="B5" s="0" t="s">
        <v>85</v>
      </c>
      <c r="C5" s="0" t="n">
        <v>3500</v>
      </c>
      <c r="D5" s="3" t="n">
        <v>46037</v>
      </c>
      <c r="E5" s="0" t="s">
        <v>86</v>
      </c>
      <c r="F5" s="2" t="str">
        <f aca="false">IF(C5&gt;2000,"Check","OK")</f>
        <v>Check</v>
      </c>
      <c r="G5" s="0" t="s">
        <v>87</v>
      </c>
      <c r="H5" s="0" t="n">
        <f aca="false">IF(G5="No",C5*0.9,C5)</f>
        <v>3150</v>
      </c>
    </row>
    <row r="6" customFormat="false" ht="15" hidden="false" customHeight="false" outlineLevel="0" collapsed="false">
      <c r="A6" s="0" t="n">
        <v>305</v>
      </c>
      <c r="B6" s="0" t="s">
        <v>88</v>
      </c>
      <c r="C6" s="0" t="n">
        <v>800</v>
      </c>
      <c r="D6" s="3" t="n">
        <v>46042</v>
      </c>
      <c r="E6" s="0" t="s">
        <v>89</v>
      </c>
      <c r="F6" s="2" t="str">
        <f aca="false">IF(C6&gt;2000,"Check","OK")</f>
        <v>OK</v>
      </c>
      <c r="G6" s="0" t="s">
        <v>80</v>
      </c>
      <c r="H6" s="0" t="n">
        <f aca="false">IF(G6="No",C6*0.9,C6)</f>
        <v>800</v>
      </c>
    </row>
    <row r="7" customFormat="false" ht="15" hidden="false" customHeight="false" outlineLevel="0" collapsed="false">
      <c r="A7" s="0" t="n">
        <v>306</v>
      </c>
      <c r="B7" s="0" t="s">
        <v>78</v>
      </c>
      <c r="C7" s="0" t="n">
        <v>12000</v>
      </c>
      <c r="D7" s="3" t="n">
        <v>46054</v>
      </c>
      <c r="E7" s="0" t="s">
        <v>79</v>
      </c>
      <c r="F7" s="2" t="str">
        <f aca="false">IF(C7&gt;2000,"Check","OK")</f>
        <v>Check</v>
      </c>
      <c r="G7" s="0" t="s">
        <v>80</v>
      </c>
      <c r="H7" s="0" t="n">
        <f aca="false">IF(G7="No",C7*0.9,C7)</f>
        <v>12000</v>
      </c>
    </row>
    <row r="8" customFormat="false" ht="15" hidden="false" customHeight="false" outlineLevel="0" collapsed="false">
      <c r="A8" s="0" t="n">
        <v>307</v>
      </c>
      <c r="B8" s="0" t="s">
        <v>81</v>
      </c>
      <c r="C8" s="0" t="n">
        <v>22000</v>
      </c>
      <c r="D8" s="3" t="n">
        <v>46058</v>
      </c>
      <c r="E8" s="0" t="s">
        <v>82</v>
      </c>
      <c r="F8" s="2" t="str">
        <f aca="false">IF(C8&gt;2000,"Check","OK")</f>
        <v>Check</v>
      </c>
      <c r="G8" s="0" t="s">
        <v>80</v>
      </c>
      <c r="H8" s="0" t="n">
        <f aca="false">IF(G8="No",C8*0.9,C8)</f>
        <v>22000</v>
      </c>
    </row>
    <row r="9" customFormat="false" ht="15" hidden="false" customHeight="false" outlineLevel="0" collapsed="false">
      <c r="A9" s="0" t="n">
        <v>308</v>
      </c>
      <c r="B9" s="0" t="s">
        <v>85</v>
      </c>
      <c r="C9" s="0" t="n">
        <v>5500</v>
      </c>
      <c r="D9" s="3" t="n">
        <v>46068</v>
      </c>
      <c r="E9" s="0" t="s">
        <v>90</v>
      </c>
      <c r="F9" s="2" t="str">
        <f aca="false">IF(C9&gt;2000,"Check","OK")</f>
        <v>Check</v>
      </c>
      <c r="G9" s="0" t="s">
        <v>87</v>
      </c>
      <c r="H9" s="0" t="n">
        <f aca="false">IF(G9="No",C9*0.9,C9)</f>
        <v>4950</v>
      </c>
    </row>
    <row r="10" customFormat="false" ht="15" hidden="false" customHeight="false" outlineLevel="0" collapsed="false">
      <c r="A10" s="0" t="n">
        <v>309</v>
      </c>
      <c r="B10" s="0" t="s">
        <v>91</v>
      </c>
      <c r="C10" s="0" t="n">
        <v>2200</v>
      </c>
      <c r="D10" s="3" t="n">
        <v>46075</v>
      </c>
      <c r="E10" s="0" t="s">
        <v>92</v>
      </c>
      <c r="F10" s="2" t="str">
        <f aca="false">IF(C10&gt;2000,"Check","OK")</f>
        <v>Check</v>
      </c>
      <c r="G10" s="0" t="s">
        <v>80</v>
      </c>
      <c r="H10" s="0" t="n">
        <f aca="false">IF(G10="No",C10*0.9,C10)</f>
        <v>2200</v>
      </c>
    </row>
    <row r="11" customFormat="false" ht="15" hidden="false" customHeight="false" outlineLevel="0" collapsed="false">
      <c r="A11" s="0" t="n">
        <v>310</v>
      </c>
      <c r="B11" s="0" t="s">
        <v>88</v>
      </c>
      <c r="C11" s="0" t="n">
        <v>800</v>
      </c>
      <c r="D11" s="3" t="n">
        <v>46078</v>
      </c>
      <c r="E11" s="0" t="s">
        <v>89</v>
      </c>
      <c r="F11" s="2" t="str">
        <f aca="false">IF(C11&gt;2000,"Check","OK")</f>
        <v>OK</v>
      </c>
      <c r="G11" s="0" t="s">
        <v>80</v>
      </c>
      <c r="H11" s="0" t="n">
        <f aca="false">IF(G11="No",C11*0.9,C11)</f>
        <v>800</v>
      </c>
    </row>
    <row r="12" customFormat="false" ht="15" hidden="false" customHeight="false" outlineLevel="0" collapsed="false">
      <c r="A12" s="0" t="n">
        <v>311</v>
      </c>
      <c r="B12" s="0" t="s">
        <v>78</v>
      </c>
      <c r="C12" s="0" t="n">
        <v>12000</v>
      </c>
      <c r="D12" s="3" t="n">
        <v>46082</v>
      </c>
      <c r="E12" s="0" t="s">
        <v>79</v>
      </c>
      <c r="F12" s="2" t="str">
        <f aca="false">IF(C12&gt;2000,"Check","OK")</f>
        <v>Check</v>
      </c>
      <c r="G12" s="0" t="s">
        <v>80</v>
      </c>
      <c r="H12" s="0" t="n">
        <f aca="false">IF(G12="No",C12*0.9,C12)</f>
        <v>12000</v>
      </c>
    </row>
    <row r="13" customFormat="false" ht="15" hidden="false" customHeight="false" outlineLevel="0" collapsed="false">
      <c r="A13" s="0" t="n">
        <v>312</v>
      </c>
      <c r="B13" s="0" t="s">
        <v>81</v>
      </c>
      <c r="C13" s="0" t="n">
        <v>22000</v>
      </c>
      <c r="D13" s="3" t="n">
        <v>46086</v>
      </c>
      <c r="E13" s="0" t="s">
        <v>82</v>
      </c>
      <c r="F13" s="2" t="str">
        <f aca="false">IF(C13&gt;2000,"Check","OK")</f>
        <v>Check</v>
      </c>
      <c r="G13" s="0" t="s">
        <v>80</v>
      </c>
      <c r="H13" s="0" t="n">
        <f aca="false">IF(G13="No",C13*0.9,C13)</f>
        <v>22000</v>
      </c>
    </row>
    <row r="14" customFormat="false" ht="15" hidden="false" customHeight="false" outlineLevel="0" collapsed="false">
      <c r="A14" s="0" t="n">
        <v>313</v>
      </c>
      <c r="B14" s="0" t="s">
        <v>83</v>
      </c>
      <c r="C14" s="0" t="n">
        <v>2800</v>
      </c>
      <c r="D14" s="3" t="n">
        <v>46091</v>
      </c>
      <c r="E14" s="0" t="s">
        <v>84</v>
      </c>
      <c r="F14" s="2" t="str">
        <f aca="false">IF(C14&gt;2000,"Check","OK")</f>
        <v>Check</v>
      </c>
      <c r="G14" s="0" t="s">
        <v>80</v>
      </c>
      <c r="H14" s="0" t="n">
        <f aca="false">IF(G14="No",C14*0.9,C14)</f>
        <v>2800</v>
      </c>
    </row>
    <row r="15" customFormat="false" ht="15" hidden="false" customHeight="false" outlineLevel="0" collapsed="false">
      <c r="A15" s="0" t="n">
        <v>314</v>
      </c>
      <c r="B15" s="0" t="s">
        <v>85</v>
      </c>
      <c r="C15" s="0" t="n">
        <v>1500</v>
      </c>
      <c r="D15" s="3" t="n">
        <v>46096</v>
      </c>
      <c r="E15" s="0" t="s">
        <v>93</v>
      </c>
      <c r="F15" s="2" t="str">
        <f aca="false">IF(C15&gt;2000,"Check","OK")</f>
        <v>OK</v>
      </c>
      <c r="G15" s="0" t="s">
        <v>87</v>
      </c>
      <c r="H15" s="0" t="n">
        <f aca="false">IF(G15="No",C15*0.9,C15)</f>
        <v>1350</v>
      </c>
    </row>
    <row r="16" customFormat="false" ht="15" hidden="false" customHeight="false" outlineLevel="0" collapsed="false">
      <c r="A16" s="0" t="n">
        <v>315</v>
      </c>
      <c r="B16" s="0" t="s">
        <v>94</v>
      </c>
      <c r="C16" s="0" t="n">
        <v>900</v>
      </c>
      <c r="D16" s="3" t="n">
        <v>46101</v>
      </c>
      <c r="E16" s="0" t="s">
        <v>95</v>
      </c>
      <c r="F16" s="2" t="str">
        <f aca="false">IF(C16&gt;2000,"Check","OK")</f>
        <v>OK</v>
      </c>
      <c r="G16" s="0" t="s">
        <v>87</v>
      </c>
      <c r="H16" s="0" t="n">
        <f aca="false">IF(G16="No",C16*0.9,C16)</f>
        <v>810</v>
      </c>
    </row>
  </sheetData>
  <conditionalFormatting sqref="F2:F16">
    <cfRule type="cellIs" priority="2" operator="equal" aboveAverage="0" equalAverage="0" bottom="0" percent="0" rank="0" text="" dxfId="0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30"/>
    <col collapsed="false" customWidth="true" hidden="false" outlineLevel="0" max="5" min="5" style="0" width="17"/>
    <col collapsed="false" customWidth="true" hidden="false" outlineLevel="0" max="7" min="6" style="0" width="30"/>
  </cols>
  <sheetData>
    <row r="1" customFormat="false" ht="15" hidden="false" customHeight="false" outlineLevel="0" collapsed="false">
      <c r="A1" s="6" t="s">
        <v>96</v>
      </c>
    </row>
    <row r="3" customFormat="false" ht="15" hidden="false" customHeight="false" outlineLevel="0" collapsed="false">
      <c r="A3" s="1" t="s">
        <v>97</v>
      </c>
      <c r="B3" s="1" t="s">
        <v>98</v>
      </c>
      <c r="C3" s="1" t="s">
        <v>99</v>
      </c>
    </row>
    <row r="4" customFormat="false" ht="15" hidden="false" customHeight="false" outlineLevel="0" collapsed="false">
      <c r="A4" s="0" t="s">
        <v>64</v>
      </c>
      <c r="B4" s="5" t="n">
        <f aca="false">SUMIF(Purchases!$B$2:$B$50,"Adidas Egypt",Purchases!$F$2:$F$50)</f>
        <v>246000</v>
      </c>
      <c r="C4" s="7" t="n">
        <f aca="false">IFERROR(AVERAGEIF(Purchases!$B$2:$B$50,"Adidas Egypt",Purchases!$D$2:$D$50),0)</f>
        <v>250</v>
      </c>
    </row>
    <row r="5" customFormat="false" ht="15" hidden="false" customHeight="false" outlineLevel="0" collapsed="false">
      <c r="A5" s="0" t="s">
        <v>65</v>
      </c>
      <c r="B5" s="5" t="n">
        <f aca="false">SUMIF(Purchases!$B$2:$B$50,"Nike ME",Purchases!$F$2:$F$50)</f>
        <v>272500</v>
      </c>
      <c r="C5" s="7" t="n">
        <f aca="false">IFERROR(AVERAGEIF(Purchases!$B$2:$B$50,"Nike ME",Purchases!$D$2:$D$50),0)</f>
        <v>75</v>
      </c>
    </row>
    <row r="6" customFormat="false" ht="15" hidden="false" customHeight="false" outlineLevel="0" collapsed="false">
      <c r="A6" s="0" t="s">
        <v>66</v>
      </c>
      <c r="B6" s="5" t="n">
        <f aca="false">SUMIF(Purchases!$B$2:$B$50,"FitnessPro Imports",Purchases!$F$2:$F$50)</f>
        <v>508000</v>
      </c>
      <c r="C6" s="7" t="n">
        <f aca="false">IFERROR(AVERAGEIF(Purchases!$B$2:$B$50,"FitnessPro Imports",Purchases!$D$2:$D$50),0)</f>
        <v>56.6666666666667</v>
      </c>
    </row>
    <row r="7" customFormat="false" ht="15" hidden="false" customHeight="false" outlineLevel="0" collapsed="false">
      <c r="A7" s="0" t="s">
        <v>67</v>
      </c>
      <c r="B7" s="5" t="n">
        <f aca="false">SUMIF(Purchases!$B$2:$B$50,"Decathlon Egypt",Purchases!$F$2:$F$50)</f>
        <v>325500</v>
      </c>
      <c r="C7" s="7" t="n">
        <f aca="false">IFERROR(AVERAGEIF(Purchases!$B$2:$B$50,"Decathlon Egypt",Purchases!$D$2:$D$50),0)</f>
        <v>310</v>
      </c>
    </row>
    <row r="8" customFormat="false" ht="15" hidden="false" customHeight="false" outlineLevel="0" collapsed="false">
      <c r="A8" s="0" t="s">
        <v>68</v>
      </c>
      <c r="B8" s="5" t="n">
        <f aca="false">SUMIF(Purchases!$B$2:$B$50,"Garmin Distributor",Purchases!$F$2:$F$50)</f>
        <v>260000</v>
      </c>
      <c r="C8" s="7" t="n">
        <f aca="false">IFERROR(AVERAGEIF(Purchases!$B$2:$B$50,"Garmin Distributor",Purchases!$D$2:$D$50),0)</f>
        <v>40</v>
      </c>
    </row>
    <row r="9" customFormat="false" ht="15" hidden="false" customHeight="false" outlineLevel="0" collapsed="false">
      <c r="A9" s="0" t="s">
        <v>69</v>
      </c>
      <c r="B9" s="5" t="n">
        <f aca="false">SUMIF(Purchases!$B$2:$B$50,"Trek Bicycles",Purchases!$F$2:$F$50)</f>
        <v>210000</v>
      </c>
      <c r="C9" s="7" t="n">
        <f aca="false">IFERROR(AVERAGEIF(Purchases!$B$2:$B$50,"Trek Bicycles",Purchases!$D$2:$D$50),0)</f>
        <v>15</v>
      </c>
    </row>
    <row r="12" customFormat="false" ht="15" hidden="false" customHeight="false" outlineLevel="0" collapsed="false">
      <c r="A12" s="1" t="s">
        <v>0</v>
      </c>
      <c r="B12" s="1" t="s">
        <v>1</v>
      </c>
      <c r="C12" s="1" t="s">
        <v>100</v>
      </c>
      <c r="D12" s="1" t="s">
        <v>101</v>
      </c>
      <c r="E12" s="1" t="s">
        <v>102</v>
      </c>
      <c r="F12" s="1" t="s">
        <v>103</v>
      </c>
      <c r="G12" s="1" t="s">
        <v>104</v>
      </c>
    </row>
    <row r="13" customFormat="false" ht="15" hidden="false" customHeight="false" outlineLevel="0" collapsed="false">
      <c r="A13" s="0" t="n">
        <v>1</v>
      </c>
      <c r="B13" s="0" t="s">
        <v>8</v>
      </c>
      <c r="C13" s="0" t="n">
        <f aca="false">VLOOKUP(A13,Product!$A$2:$E$11,5,FALSE())</f>
        <v>6</v>
      </c>
      <c r="D13" s="0" t="n">
        <f aca="false">SUMIF(Sales!$B$2:$B$50,A13,Sales!$D$2:$D$50)</f>
        <v>6</v>
      </c>
      <c r="E13" s="0" t="n">
        <f aca="false">C13-D13</f>
        <v>0</v>
      </c>
      <c r="F13" s="5" t="n">
        <f aca="false">SUMIF(Sales!$B$2:$B$50,A13,Sales!$N$2:$N$50)</f>
        <v>36000</v>
      </c>
      <c r="G13" s="0" t="str">
        <f aca="false">IF(F13&lt;0,"Negative","Positive")</f>
        <v>Positive</v>
      </c>
    </row>
    <row r="14" customFormat="false" ht="15" hidden="false" customHeight="false" outlineLevel="0" collapsed="false">
      <c r="A14" s="0" t="n">
        <v>2</v>
      </c>
      <c r="B14" s="0" t="s">
        <v>10</v>
      </c>
      <c r="C14" s="0" t="n">
        <f aca="false">VLOOKUP(A14,Product!$A$2:$E$11,5,FALSE())</f>
        <v>25</v>
      </c>
      <c r="D14" s="0" t="n">
        <f aca="false">SUMIF(Sales!$B$2:$B$50,A14,Sales!$D$2:$D$50)</f>
        <v>3</v>
      </c>
      <c r="E14" s="0" t="n">
        <f aca="false">C14-D14</f>
        <v>22</v>
      </c>
      <c r="F14" s="5" t="n">
        <f aca="false">SUMIF(Sales!$B$2:$B$50,A14,Sales!$N$2:$N$50)</f>
        <v>6000</v>
      </c>
      <c r="G14" s="0" t="str">
        <f aca="false">IF(F14&lt;0,"Negative","Positive")</f>
        <v>Positive</v>
      </c>
    </row>
    <row r="15" customFormat="false" ht="15" hidden="false" customHeight="false" outlineLevel="0" collapsed="false">
      <c r="A15" s="0" t="n">
        <v>3</v>
      </c>
      <c r="B15" s="0" t="s">
        <v>12</v>
      </c>
      <c r="C15" s="0" t="n">
        <f aca="false">VLOOKUP(A15,Product!$A$2:$E$11,5,FALSE())</f>
        <v>200</v>
      </c>
      <c r="D15" s="0" t="n">
        <f aca="false">SUMIF(Sales!$B$2:$B$50,A15,Sales!$D$2:$D$50)</f>
        <v>6</v>
      </c>
      <c r="E15" s="0" t="n">
        <f aca="false">C15-D15</f>
        <v>194</v>
      </c>
      <c r="F15" s="5" t="n">
        <f aca="false">SUMIF(Sales!$B$2:$B$50,A15,Sales!$N$2:$N$50)</f>
        <v>1020</v>
      </c>
      <c r="G15" s="0" t="str">
        <f aca="false">IF(F15&lt;0,"Negative","Positive")</f>
        <v>Positive</v>
      </c>
    </row>
    <row r="16" customFormat="false" ht="15" hidden="false" customHeight="false" outlineLevel="0" collapsed="false">
      <c r="A16" s="0" t="n">
        <v>4</v>
      </c>
      <c r="B16" s="0" t="s">
        <v>13</v>
      </c>
      <c r="C16" s="0" t="n">
        <f aca="false">VLOOKUP(A16,Product!$A$2:$E$11,5,FALSE())</f>
        <v>9</v>
      </c>
      <c r="D16" s="0" t="n">
        <f aca="false">SUMIF(Sales!$B$2:$B$50,A16,Sales!$D$2:$D$50)</f>
        <v>2</v>
      </c>
      <c r="E16" s="0" t="n">
        <f aca="false">C16-D16</f>
        <v>7</v>
      </c>
      <c r="F16" s="5" t="n">
        <f aca="false">SUMIF(Sales!$B$2:$B$50,A16,Sales!$N$2:$N$50)</f>
        <v>8000</v>
      </c>
      <c r="G16" s="0" t="str">
        <f aca="false">IF(F16&lt;0,"Negative","Positive")</f>
        <v>Positive</v>
      </c>
    </row>
    <row r="17" customFormat="false" ht="15" hidden="false" customHeight="false" outlineLevel="0" collapsed="false">
      <c r="A17" s="0" t="n">
        <v>5</v>
      </c>
      <c r="B17" s="0" t="s">
        <v>15</v>
      </c>
      <c r="C17" s="0" t="n">
        <f aca="false">VLOOKUP(A17,Product!$A$2:$E$11,5,FALSE())</f>
        <v>60</v>
      </c>
      <c r="D17" s="0" t="n">
        <f aca="false">SUMIF(Sales!$B$2:$B$50,A17,Sales!$D$2:$D$50)</f>
        <v>2</v>
      </c>
      <c r="E17" s="0" t="n">
        <f aca="false">C17-D17</f>
        <v>58</v>
      </c>
      <c r="F17" s="5" t="n">
        <f aca="false">SUMIF(Sales!$B$2:$B$50,A17,Sales!$N$2:$N$50)</f>
        <v>1800</v>
      </c>
      <c r="G17" s="0" t="str">
        <f aca="false">IF(F17&lt;0,"Negative","Positive")</f>
        <v>Positive</v>
      </c>
    </row>
    <row r="18" customFormat="false" ht="15" hidden="false" customHeight="false" outlineLevel="0" collapsed="false">
      <c r="A18" s="0" t="n">
        <v>6</v>
      </c>
      <c r="B18" s="0" t="s">
        <v>16</v>
      </c>
      <c r="C18" s="0" t="n">
        <f aca="false">VLOOKUP(A18,Product!$A$2:$E$11,5,FALSE())</f>
        <v>150</v>
      </c>
      <c r="D18" s="0" t="n">
        <f aca="false">SUMIF(Sales!$B$2:$B$50,A18,Sales!$D$2:$D$50)</f>
        <v>75</v>
      </c>
      <c r="E18" s="0" t="n">
        <f aca="false">C18-D18</f>
        <v>75</v>
      </c>
      <c r="F18" s="5" t="n">
        <f aca="false">SUMIF(Sales!$B$2:$B$50,A18,Sales!$N$2:$N$50)</f>
        <v>18750</v>
      </c>
      <c r="G18" s="0" t="str">
        <f aca="false">IF(F18&lt;0,"Negative","Positive")</f>
        <v>Positive</v>
      </c>
    </row>
    <row r="19" customFormat="false" ht="15" hidden="false" customHeight="false" outlineLevel="0" collapsed="false">
      <c r="A19" s="0" t="n">
        <v>7</v>
      </c>
      <c r="B19" s="0" t="s">
        <v>18</v>
      </c>
      <c r="C19" s="0" t="n">
        <f aca="false">VLOOKUP(A19,Product!$A$2:$E$11,5,FALSE())</f>
        <v>120</v>
      </c>
      <c r="D19" s="0" t="n">
        <f aca="false">SUMIF(Sales!$B$2:$B$50,A19,Sales!$D$2:$D$50)</f>
        <v>9</v>
      </c>
      <c r="E19" s="0" t="n">
        <f aca="false">C19-D19</f>
        <v>111</v>
      </c>
      <c r="F19" s="5" t="n">
        <f aca="false">SUMIF(Sales!$B$2:$B$50,A19,Sales!$N$2:$N$50)</f>
        <v>2790</v>
      </c>
      <c r="G19" s="0" t="str">
        <f aca="false">IF(F19&lt;0,"Negative","Positive")</f>
        <v>Positive</v>
      </c>
    </row>
    <row r="20" customFormat="false" ht="15" hidden="false" customHeight="false" outlineLevel="0" collapsed="false">
      <c r="A20" s="0" t="n">
        <v>8</v>
      </c>
      <c r="B20" s="0" t="s">
        <v>20</v>
      </c>
      <c r="C20" s="0" t="n">
        <f aca="false">VLOOKUP(A20,Product!$A$2:$E$11,5,FALSE())</f>
        <v>45</v>
      </c>
      <c r="D20" s="0" t="n">
        <f aca="false">SUMIF(Sales!$B$2:$B$50,A20,Sales!$D$2:$D$50)</f>
        <v>3</v>
      </c>
      <c r="E20" s="0" t="n">
        <f aca="false">C20-D20</f>
        <v>42</v>
      </c>
      <c r="F20" s="5" t="n">
        <f aca="false">SUMIF(Sales!$B$2:$B$50,A20,Sales!$N$2:$N$50)</f>
        <v>2025</v>
      </c>
      <c r="G20" s="0" t="str">
        <f aca="false">IF(F20&lt;0,"Negative","Positive")</f>
        <v>Positive</v>
      </c>
    </row>
    <row r="21" customFormat="false" ht="15" hidden="false" customHeight="false" outlineLevel="0" collapsed="false">
      <c r="A21" s="0" t="n">
        <v>9</v>
      </c>
      <c r="B21" s="0" t="s">
        <v>21</v>
      </c>
      <c r="C21" s="0" t="n">
        <f aca="false">VLOOKUP(A21,Product!$A$2:$E$11,5,FALSE())</f>
        <v>8</v>
      </c>
      <c r="D21" s="0" t="n">
        <f aca="false">SUMIF(Sales!$B$2:$B$50,A21,Sales!$D$2:$D$50)</f>
        <v>3</v>
      </c>
      <c r="E21" s="0" t="n">
        <f aca="false">C21-D21</f>
        <v>5</v>
      </c>
      <c r="F21" s="5" t="n">
        <f aca="false">SUMIF(Sales!$B$2:$B$50,A21,Sales!$N$2:$N$50)</f>
        <v>1050</v>
      </c>
      <c r="G21" s="0" t="str">
        <f aca="false">IF(F21&lt;0,"Negative","Positive")</f>
        <v>Positive</v>
      </c>
    </row>
    <row r="22" customFormat="false" ht="15" hidden="false" customHeight="false" outlineLevel="0" collapsed="false">
      <c r="A22" s="0" t="n">
        <v>10</v>
      </c>
      <c r="B22" s="0" t="s">
        <v>22</v>
      </c>
      <c r="C22" s="0" t="n">
        <f aca="false">VLOOKUP(A22,Product!$A$2:$E$11,5,FALSE())</f>
        <v>30</v>
      </c>
      <c r="D22" s="0" t="n">
        <f aca="false">SUMIF(Sales!$B$2:$B$50,A22,Sales!$D$2:$D$50)</f>
        <v>15</v>
      </c>
      <c r="E22" s="0" t="n">
        <f aca="false">C22-D22</f>
        <v>15</v>
      </c>
      <c r="F22" s="5" t="n">
        <f aca="false">SUMIF(Sales!$B$2:$B$50,A22,Sales!$N$2:$N$50)</f>
        <v>7500</v>
      </c>
      <c r="G22" s="0" t="str">
        <f aca="false">IF(F22&lt;0,"Negative","Positive")</f>
        <v>Positive</v>
      </c>
    </row>
    <row r="25" customFormat="false" ht="15" hidden="false" customHeight="false" outlineLevel="0" collapsed="false">
      <c r="A25" s="8" t="s">
        <v>105</v>
      </c>
    </row>
    <row r="26" customFormat="false" ht="15" hidden="false" customHeight="false" outlineLevel="0" collapsed="false">
      <c r="A26" s="1" t="s">
        <v>106</v>
      </c>
      <c r="B26" s="1" t="s">
        <v>36</v>
      </c>
      <c r="C26" s="1" t="s">
        <v>39</v>
      </c>
    </row>
    <row r="27" customFormat="false" ht="15" hidden="false" customHeight="false" outlineLevel="0" collapsed="false">
      <c r="A27" s="0" t="n">
        <v>1</v>
      </c>
      <c r="B27" s="0" t="str">
        <f aca="false">INDEX(Customers!$B$2:$B$10,MATCH(1,Customers!$G$2:$G$10,0))</f>
        <v>Karim Said</v>
      </c>
      <c r="C27" s="5" t="n">
        <f aca="false">INDEX(Customers!$E$2:$E$10,MATCH(1,Customers!$G$2:$G$10,0))</f>
        <v>92600</v>
      </c>
    </row>
    <row r="28" customFormat="false" ht="15" hidden="false" customHeight="false" outlineLevel="0" collapsed="false">
      <c r="A28" s="0" t="n">
        <v>2</v>
      </c>
      <c r="B28" s="0" t="str">
        <f aca="false">INDEX(Customers!$B$2:$B$10,MATCH(2,Customers!$G$2:$G$10,0))</f>
        <v>Mohamed Elsaeed</v>
      </c>
      <c r="C28" s="5" t="n">
        <f aca="false">INDEX(Customers!$E$2:$E$10,MATCH(2,Customers!$G$2:$G$10,0))</f>
        <v>74400</v>
      </c>
    </row>
    <row r="29" customFormat="false" ht="15" hidden="false" customHeight="false" outlineLevel="0" collapsed="false">
      <c r="A29" s="0" t="n">
        <v>3</v>
      </c>
      <c r="B29" s="0" t="str">
        <f aca="false">INDEX(Customers!$B$2:$B$10,MATCH(3,Customers!$G$2:$G$10,0))</f>
        <v>Yasmin Adel</v>
      </c>
      <c r="C29" s="5" t="n">
        <f aca="false">INDEX(Customers!$E$2:$E$10,MATCH(3,Customers!$G$2:$G$10,0))</f>
        <v>62900</v>
      </c>
    </row>
    <row r="30" customFormat="false" ht="15" hidden="false" customHeight="false" outlineLevel="0" collapsed="false">
      <c r="A30" s="0" t="n">
        <v>4</v>
      </c>
      <c r="B30" s="0" t="str">
        <f aca="false">INDEX(Customers!$B$2:$B$10,MATCH(4,Customers!$G$2:$G$10,0))</f>
        <v>Nada Tarek</v>
      </c>
      <c r="C30" s="5" t="n">
        <f aca="false">INDEX(Customers!$E$2:$E$10,MATCH(4,Customers!$G$2:$G$10,0))</f>
        <v>37500</v>
      </c>
    </row>
    <row r="31" customFormat="false" ht="15" hidden="false" customHeight="false" outlineLevel="0" collapsed="false">
      <c r="A31" s="0" t="n">
        <v>5</v>
      </c>
      <c r="B31" s="0" t="str">
        <f aca="false">INDEX(Customers!$B$2:$B$10,MATCH(5,Customers!$G$2:$G$10,0))</f>
        <v>Omar Mostafa</v>
      </c>
      <c r="C31" s="5" t="n">
        <f aca="false">INDEX(Customers!$E$2:$E$10,MATCH(5,Customers!$G$2:$G$10,0))</f>
        <v>37450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8" t="s">
        <v>107</v>
      </c>
    </row>
    <row r="3" customFormat="false" ht="15" hidden="false" customHeight="false" outlineLevel="0" collapsed="false">
      <c r="A3" s="9" t="s">
        <v>108</v>
      </c>
    </row>
    <row r="4" customFormat="false" ht="15" hidden="false" customHeight="false" outlineLevel="0" collapsed="false">
      <c r="A4" s="1" t="s">
        <v>0</v>
      </c>
      <c r="B4" s="1" t="s">
        <v>109</v>
      </c>
      <c r="C4" s="1" t="s">
        <v>110</v>
      </c>
      <c r="D4" s="1" t="s">
        <v>3</v>
      </c>
      <c r="E4" s="1" t="s">
        <v>111</v>
      </c>
    </row>
    <row r="5" customFormat="false" ht="15" hidden="false" customHeight="false" outlineLevel="0" collapsed="false">
      <c r="A5" s="0" t="n">
        <v>1</v>
      </c>
      <c r="B5" s="0" t="n">
        <f aca="false">VLOOKUP(A5,Product!$A$2:$E$11,5,FALSE())</f>
        <v>6</v>
      </c>
      <c r="C5" s="0" t="n">
        <f aca="false">B5*0.8</f>
        <v>4.8</v>
      </c>
      <c r="D5" s="0" t="n">
        <f aca="false">VLOOKUP(A5,Product!$A$2:$E$11,4,FALSE())</f>
        <v>28000</v>
      </c>
      <c r="E5" s="0" t="n">
        <f aca="false">C5*D5</f>
        <v>134400</v>
      </c>
    </row>
    <row r="6" customFormat="false" ht="15" hidden="false" customHeight="false" outlineLevel="0" collapsed="false">
      <c r="A6" s="0" t="n">
        <v>2</v>
      </c>
      <c r="B6" s="0" t="n">
        <f aca="false">VLOOKUP(A6,Product!$A$2:$E$11,5,FALSE())</f>
        <v>25</v>
      </c>
      <c r="C6" s="0" t="n">
        <f aca="false">B6*0.8</f>
        <v>20</v>
      </c>
      <c r="D6" s="0" t="n">
        <f aca="false">VLOOKUP(A6,Product!$A$2:$E$11,4,FALSE())</f>
        <v>8500</v>
      </c>
      <c r="E6" s="0" t="n">
        <f aca="false">C6*D6</f>
        <v>170000</v>
      </c>
    </row>
    <row r="7" customFormat="false" ht="15" hidden="false" customHeight="false" outlineLevel="0" collapsed="false">
      <c r="A7" s="0" t="n">
        <v>3</v>
      </c>
      <c r="B7" s="0" t="n">
        <f aca="false">VLOOKUP(A7,Product!$A$2:$E$11,5,FALSE())</f>
        <v>200</v>
      </c>
      <c r="C7" s="0" t="n">
        <f aca="false">B7*0.8</f>
        <v>160</v>
      </c>
      <c r="D7" s="0" t="n">
        <f aca="false">VLOOKUP(A7,Product!$A$2:$E$11,4,FALSE())</f>
        <v>450</v>
      </c>
      <c r="E7" s="0" t="n">
        <f aca="false">C7*D7</f>
        <v>72000</v>
      </c>
    </row>
    <row r="8" customFormat="false" ht="15" hidden="false" customHeight="false" outlineLevel="0" collapsed="false">
      <c r="A8" s="0" t="n">
        <v>4</v>
      </c>
      <c r="B8" s="0" t="n">
        <f aca="false">VLOOKUP(A8,Product!$A$2:$E$11,5,FALSE())</f>
        <v>9</v>
      </c>
      <c r="C8" s="0" t="n">
        <f aca="false">B8*0.8</f>
        <v>7.2</v>
      </c>
      <c r="D8" s="0" t="n">
        <f aca="false">VLOOKUP(A8,Product!$A$2:$E$11,4,FALSE())</f>
        <v>18000</v>
      </c>
      <c r="E8" s="0" t="n">
        <f aca="false">C8*D8</f>
        <v>129600</v>
      </c>
    </row>
    <row r="9" customFormat="false" ht="15" hidden="false" customHeight="false" outlineLevel="0" collapsed="false">
      <c r="A9" s="0" t="n">
        <v>5</v>
      </c>
      <c r="B9" s="0" t="n">
        <f aca="false">VLOOKUP(A9,Product!$A$2:$E$11,5,FALSE())</f>
        <v>60</v>
      </c>
      <c r="C9" s="0" t="n">
        <f aca="false">B9*0.8</f>
        <v>48</v>
      </c>
      <c r="D9" s="0" t="n">
        <f aca="false">VLOOKUP(A9,Product!$A$2:$E$11,4,FALSE())</f>
        <v>3200</v>
      </c>
      <c r="E9" s="0" t="n">
        <f aca="false">C9*D9</f>
        <v>153600</v>
      </c>
    </row>
    <row r="10" customFormat="false" ht="15" hidden="false" customHeight="false" outlineLevel="0" collapsed="false">
      <c r="A10" s="0" t="n">
        <v>6</v>
      </c>
      <c r="B10" s="0" t="n">
        <f aca="false">VLOOKUP(A10,Product!$A$2:$E$11,5,FALSE())</f>
        <v>150</v>
      </c>
      <c r="C10" s="0" t="n">
        <f aca="false">B10*0.8</f>
        <v>120</v>
      </c>
      <c r="D10" s="0" t="n">
        <f aca="false">VLOOKUP(A10,Product!$A$2:$E$11,4,FALSE())</f>
        <v>650</v>
      </c>
      <c r="E10" s="0" t="n">
        <f aca="false">C10*D10</f>
        <v>78000</v>
      </c>
    </row>
    <row r="11" customFormat="false" ht="15" hidden="false" customHeight="false" outlineLevel="0" collapsed="false">
      <c r="A11" s="0" t="n">
        <v>7</v>
      </c>
      <c r="B11" s="0" t="n">
        <f aca="false">VLOOKUP(A11,Product!$A$2:$E$11,5,FALSE())</f>
        <v>120</v>
      </c>
      <c r="C11" s="0" t="n">
        <f aca="false">B11*0.8</f>
        <v>96</v>
      </c>
      <c r="D11" s="0" t="n">
        <f aca="false">VLOOKUP(A11,Product!$A$2:$E$11,4,FALSE())</f>
        <v>800</v>
      </c>
      <c r="E11" s="0" t="n">
        <f aca="false">C11*D11</f>
        <v>76800</v>
      </c>
    </row>
    <row r="12" customFormat="false" ht="15" hidden="false" customHeight="false" outlineLevel="0" collapsed="false">
      <c r="A12" s="0" t="n">
        <v>8</v>
      </c>
      <c r="B12" s="0" t="n">
        <f aca="false">VLOOKUP(A12,Product!$A$2:$E$11,5,FALSE())</f>
        <v>45</v>
      </c>
      <c r="C12" s="0" t="n">
        <f aca="false">B12*0.8</f>
        <v>36</v>
      </c>
      <c r="D12" s="0" t="n">
        <f aca="false">VLOOKUP(A12,Product!$A$2:$E$11,4,FALSE())</f>
        <v>2500</v>
      </c>
      <c r="E12" s="0" t="n">
        <f aca="false">C12*D12</f>
        <v>90000</v>
      </c>
    </row>
    <row r="13" customFormat="false" ht="15" hidden="false" customHeight="false" outlineLevel="0" collapsed="false">
      <c r="A13" s="0" t="n">
        <v>9</v>
      </c>
      <c r="B13" s="0" t="n">
        <f aca="false">VLOOKUP(A13,Product!$A$2:$E$11,5,FALSE())</f>
        <v>8</v>
      </c>
      <c r="C13" s="0" t="n">
        <f aca="false">B13*0.8</f>
        <v>6.4</v>
      </c>
      <c r="D13" s="0" t="n">
        <f aca="false">VLOOKUP(A13,Product!$A$2:$E$11,4,FALSE())</f>
        <v>1200</v>
      </c>
      <c r="E13" s="0" t="n">
        <f aca="false">C13*D13</f>
        <v>7680</v>
      </c>
    </row>
    <row r="14" customFormat="false" ht="15" hidden="false" customHeight="false" outlineLevel="0" collapsed="false">
      <c r="A14" s="0" t="n">
        <v>10</v>
      </c>
      <c r="B14" s="0" t="n">
        <f aca="false">VLOOKUP(A14,Product!$A$2:$E$11,5,FALSE())</f>
        <v>30</v>
      </c>
      <c r="C14" s="0" t="n">
        <f aca="false">B14*0.8</f>
        <v>24</v>
      </c>
      <c r="D14" s="0" t="n">
        <f aca="false">VLOOKUP(A14,Product!$A$2:$E$11,4,FALSE())</f>
        <v>1800</v>
      </c>
      <c r="E14" s="0" t="n">
        <f aca="false">C14*D14</f>
        <v>43200</v>
      </c>
    </row>
    <row r="15" customFormat="false" ht="15" hidden="false" customHeight="false" outlineLevel="0" collapsed="false">
      <c r="D15" s="9" t="s">
        <v>112</v>
      </c>
      <c r="E15" s="9" t="n">
        <f aca="false">SUM(E5:E14)</f>
        <v>955280</v>
      </c>
    </row>
    <row r="18" customFormat="false" ht="15" hidden="false" customHeight="false" outlineLevel="0" collapsed="false">
      <c r="A18" s="9" t="s">
        <v>113</v>
      </c>
    </row>
    <row r="19" customFormat="false" ht="15" hidden="false" customHeight="false" outlineLevel="0" collapsed="false">
      <c r="A19" s="1" t="s">
        <v>0</v>
      </c>
      <c r="B19" s="1" t="s">
        <v>114</v>
      </c>
      <c r="C19" s="1" t="s">
        <v>115</v>
      </c>
      <c r="D19" s="1" t="s">
        <v>116</v>
      </c>
      <c r="E19" s="1" t="s">
        <v>117</v>
      </c>
    </row>
    <row r="20" customFormat="false" ht="15" hidden="false" customHeight="false" outlineLevel="0" collapsed="false">
      <c r="A20" s="0" t="n">
        <v>1</v>
      </c>
      <c r="B20" s="5" t="n">
        <f aca="false">SUMIF(Sales!$B$2:$B$50,A20,Sales!$F$2:$F$50)</f>
        <v>168000</v>
      </c>
      <c r="C20" s="5" t="n">
        <f aca="false">B20*1.05</f>
        <v>176400</v>
      </c>
      <c r="D20" s="5" t="n">
        <f aca="false">B20*1.1</f>
        <v>184800</v>
      </c>
      <c r="E20" s="5" t="n">
        <f aca="false">B20*1.15</f>
        <v>193200</v>
      </c>
    </row>
    <row r="21" customFormat="false" ht="15" hidden="false" customHeight="false" outlineLevel="0" collapsed="false">
      <c r="A21" s="0" t="n">
        <v>4</v>
      </c>
      <c r="B21" s="5" t="n">
        <f aca="false">SUMIF(Sales!$B$2:$B$50,A21,Sales!$F$2:$F$50)</f>
        <v>36000</v>
      </c>
      <c r="C21" s="5" t="n">
        <f aca="false">B21*1.05</f>
        <v>37800</v>
      </c>
      <c r="D21" s="5" t="n">
        <f aca="false">B21*1.1</f>
        <v>39600</v>
      </c>
      <c r="E21" s="5" t="n">
        <f aca="false">B21*1.15</f>
        <v>41400</v>
      </c>
    </row>
    <row r="22" customFormat="false" ht="15" hidden="false" customHeight="false" outlineLevel="0" collapsed="false">
      <c r="A22" s="0" t="n">
        <v>5</v>
      </c>
      <c r="B22" s="5" t="n">
        <f aca="false">SUMIF(Sales!$B$2:$B$50,A22,Sales!$F$2:$F$50)</f>
        <v>6400</v>
      </c>
      <c r="C22" s="5" t="n">
        <f aca="false">B22*1.05</f>
        <v>6720</v>
      </c>
      <c r="D22" s="5" t="n">
        <f aca="false">B22*1.1</f>
        <v>7040</v>
      </c>
      <c r="E22" s="5" t="n">
        <f aca="false">B22*1.15</f>
        <v>7360</v>
      </c>
    </row>
    <row r="24" customFormat="false" ht="15" hidden="false" customHeight="false" outlineLevel="0" collapsed="false">
      <c r="A24" s="9" t="s">
        <v>118</v>
      </c>
    </row>
    <row r="25" customFormat="false" ht="15" hidden="false" customHeight="false" outlineLevel="0" collapsed="false">
      <c r="A25" s="1" t="s">
        <v>37</v>
      </c>
      <c r="B25" s="1" t="s">
        <v>119</v>
      </c>
      <c r="C25" s="1" t="s">
        <v>120</v>
      </c>
    </row>
    <row r="26" customFormat="false" ht="15" hidden="false" customHeight="false" outlineLevel="0" collapsed="false">
      <c r="A26" s="0" t="s">
        <v>43</v>
      </c>
      <c r="B26" s="0" t="n">
        <f aca="false">COUNTIF(Customers!$C$2:$C$10,"Mansoura")</f>
        <v>3</v>
      </c>
      <c r="C26" s="0" t="n">
        <f aca="false">B26+IF(A26="Cairo",3,0)</f>
        <v>3</v>
      </c>
    </row>
    <row r="27" customFormat="false" ht="15" hidden="false" customHeight="false" outlineLevel="0" collapsed="false">
      <c r="A27" s="0" t="s">
        <v>46</v>
      </c>
      <c r="B27" s="0" t="n">
        <f aca="false">COUNTIF(Customers!$C$2:$C$10,"Cairo")</f>
        <v>2</v>
      </c>
      <c r="C27" s="0" t="n">
        <f aca="false">B27+IF(A27="Cairo",3,0)</f>
        <v>5</v>
      </c>
    </row>
    <row r="28" customFormat="false" ht="15" hidden="false" customHeight="false" outlineLevel="0" collapsed="false">
      <c r="A28" s="0" t="s">
        <v>121</v>
      </c>
      <c r="B28" s="0" t="n">
        <f aca="false">COUNTIF(Customers!$C$2:$C$10,"Alex")</f>
        <v>0</v>
      </c>
      <c r="C28" s="0" t="n">
        <f aca="false">B28+IF(A28="Cairo",3,0)</f>
        <v>0</v>
      </c>
    </row>
    <row r="30" customFormat="false" ht="15" hidden="false" customHeight="false" outlineLevel="0" collapsed="false">
      <c r="A30" s="9" t="s">
        <v>122</v>
      </c>
    </row>
    <row r="31" customFormat="false" ht="15" hidden="false" customHeight="false" outlineLevel="0" collapsed="false">
      <c r="A31" s="0" t="s">
        <v>123</v>
      </c>
      <c r="B31" s="5" t="n">
        <f aca="false">SUMIF(Purchases!$B$2:$B$50,"FitnessPro Imports",Purchases!$F$2:$F$50)</f>
        <v>508000</v>
      </c>
    </row>
    <row r="32" customFormat="false" ht="15" hidden="false" customHeight="false" outlineLevel="0" collapsed="false">
      <c r="A32" s="0" t="s">
        <v>124</v>
      </c>
      <c r="B32" s="5" t="n">
        <f aca="false">B31*1.1</f>
        <v>558800</v>
      </c>
    </row>
    <row r="33" customFormat="false" ht="15" hidden="false" customHeight="false" outlineLevel="0" collapsed="false">
      <c r="A33" s="0" t="s">
        <v>125</v>
      </c>
      <c r="B33" s="5" t="n">
        <f aca="false">B32-B31</f>
        <v>50800</v>
      </c>
    </row>
    <row r="35" customFormat="false" ht="15" hidden="false" customHeight="false" outlineLevel="0" collapsed="false">
      <c r="A35" s="9" t="s">
        <v>126</v>
      </c>
    </row>
    <row r="36" customFormat="false" ht="15" hidden="false" customHeight="false" outlineLevel="0" collapsed="false">
      <c r="A36" s="0" t="s">
        <v>127</v>
      </c>
      <c r="B36" s="5" t="n">
        <f aca="false">SUM(Expenses!C2:C50)</f>
        <v>123000</v>
      </c>
    </row>
    <row r="37" customFormat="false" ht="15" hidden="false" customHeight="false" outlineLevel="0" collapsed="false">
      <c r="A37" s="0" t="s">
        <v>128</v>
      </c>
      <c r="B37" s="5" t="n">
        <f aca="false">SUM(Expenses!H2:H50)</f>
        <v>121860</v>
      </c>
    </row>
    <row r="38" customFormat="false" ht="15" hidden="false" customHeight="false" outlineLevel="0" collapsed="false">
      <c r="A38" s="0" t="s">
        <v>129</v>
      </c>
      <c r="B38" s="5" t="n">
        <f aca="false">B36-B37</f>
        <v>1140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30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8" t="s">
        <v>130</v>
      </c>
    </row>
    <row r="3" customFormat="false" ht="15" hidden="false" customHeight="false" outlineLevel="0" collapsed="false">
      <c r="A3" s="1" t="s">
        <v>131</v>
      </c>
      <c r="B3" s="1" t="s">
        <v>132</v>
      </c>
      <c r="C3" s="1" t="s">
        <v>133</v>
      </c>
      <c r="D3" s="1" t="s">
        <v>134</v>
      </c>
      <c r="E3" s="1" t="s">
        <v>135</v>
      </c>
    </row>
    <row r="4" customFormat="false" ht="15" hidden="false" customHeight="false" outlineLevel="0" collapsed="false">
      <c r="A4" s="0" t="s">
        <v>136</v>
      </c>
      <c r="B4" s="0" t="s">
        <v>137</v>
      </c>
      <c r="C4" s="0" t="s">
        <v>138</v>
      </c>
      <c r="D4" s="0" t="s">
        <v>139</v>
      </c>
      <c r="E4" s="0" t="s">
        <v>140</v>
      </c>
    </row>
    <row r="5" customFormat="false" ht="15" hidden="false" customHeight="false" outlineLevel="0" collapsed="false">
      <c r="A5" s="0" t="s">
        <v>141</v>
      </c>
      <c r="B5" s="0" t="s">
        <v>142</v>
      </c>
      <c r="C5" s="0" t="s">
        <v>143</v>
      </c>
      <c r="D5" s="0" t="s">
        <v>144</v>
      </c>
      <c r="E5" s="0" t="s">
        <v>145</v>
      </c>
    </row>
    <row r="6" customFormat="false" ht="15" hidden="false" customHeight="false" outlineLevel="0" collapsed="false">
      <c r="A6" s="0" t="s">
        <v>146</v>
      </c>
      <c r="B6" s="0" t="s">
        <v>147</v>
      </c>
      <c r="C6" s="0" t="s">
        <v>148</v>
      </c>
      <c r="D6" s="0" t="s">
        <v>149</v>
      </c>
      <c r="E6" s="0" t="s">
        <v>150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0" t="s">
        <v>153</v>
      </c>
      <c r="D7" s="0" t="s">
        <v>154</v>
      </c>
      <c r="E7" s="0" t="s">
        <v>155</v>
      </c>
    </row>
    <row r="8" customFormat="false" ht="15" hidden="false" customHeight="false" outlineLevel="0" collapsed="false">
      <c r="A8" s="0" t="s">
        <v>156</v>
      </c>
      <c r="B8" s="0" t="s">
        <v>157</v>
      </c>
      <c r="C8" s="0" t="s">
        <v>158</v>
      </c>
      <c r="D8" s="0" t="s">
        <v>159</v>
      </c>
      <c r="E8" s="0" t="s">
        <v>160</v>
      </c>
    </row>
    <row r="11" customFormat="false" ht="15" hidden="false" customHeight="false" outlineLevel="0" collapsed="false">
      <c r="A11" s="9" t="s">
        <v>161</v>
      </c>
      <c r="B11" s="5" t="n">
        <f aca="false">SUM(Expenses!C2:C50)</f>
        <v>123000</v>
      </c>
    </row>
    <row r="13" customFormat="false" ht="15" hidden="false" customHeight="false" outlineLevel="0" collapsed="false">
      <c r="A13" s="9" t="s">
        <v>162</v>
      </c>
    </row>
    <row r="14" customFormat="false" ht="15" hidden="false" customHeight="false" outlineLevel="0" collapsed="false">
      <c r="A14" s="0" t="s">
        <v>163</v>
      </c>
    </row>
    <row r="15" customFormat="false" ht="15" hidden="false" customHeight="false" outlineLevel="0" collapsed="false">
      <c r="A15" s="0" t="s">
        <v>164</v>
      </c>
    </row>
    <row r="16" customFormat="false" ht="15" hidden="false" customHeight="false" outlineLevel="0" collapsed="false">
      <c r="A16" s="0" t="s">
        <v>165</v>
      </c>
    </row>
    <row r="17" customFormat="false" ht="15" hidden="false" customHeight="false" outlineLevel="0" collapsed="false">
      <c r="A17" s="0" t="s">
        <v>166</v>
      </c>
    </row>
    <row r="18" customFormat="false" ht="15" hidden="false" customHeight="false" outlineLevel="0" collapsed="false">
      <c r="A18" s="0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30"/>
  </cols>
  <sheetData>
    <row r="1" customFormat="false" ht="15" hidden="false" customHeight="false" outlineLevel="0" collapsed="false">
      <c r="A1" s="8" t="s">
        <v>168</v>
      </c>
    </row>
    <row r="2" customFormat="false" ht="15" hidden="false" customHeight="false" outlineLevel="0" collapsed="false">
      <c r="A2" s="0" t="s">
        <v>169</v>
      </c>
    </row>
    <row r="4" customFormat="false" ht="15" hidden="false" customHeight="false" outlineLevel="0" collapsed="false">
      <c r="A4" s="9" t="s">
        <v>170</v>
      </c>
    </row>
    <row r="5" customFormat="false" ht="15" hidden="false" customHeight="false" outlineLevel="0" collapsed="false">
      <c r="A5" s="1" t="s">
        <v>2</v>
      </c>
      <c r="B5" s="1" t="s">
        <v>26</v>
      </c>
      <c r="C5" s="1" t="s">
        <v>171</v>
      </c>
      <c r="D5" s="1" t="s">
        <v>172</v>
      </c>
    </row>
    <row r="6" customFormat="false" ht="15" hidden="false" customHeight="false" outlineLevel="0" collapsed="false">
      <c r="A6" s="0" t="s">
        <v>19</v>
      </c>
      <c r="B6" s="5" t="n">
        <f aca="false">SUMIFS(Sales!$F$2:$F$50,Sales!$I$2:$I$50,"Football")</f>
        <v>14700</v>
      </c>
      <c r="C6" s="5" t="n">
        <f aca="false">SUMIFS(Sales!$N$2:$N$50,Sales!$I$2:$I$50,"Football")</f>
        <v>4815</v>
      </c>
      <c r="D6" s="4" t="n">
        <f aca="false">IFERROR(C6/B6,0)</f>
        <v>0.327551020408163</v>
      </c>
    </row>
    <row r="7" customFormat="false" ht="15" hidden="false" customHeight="false" outlineLevel="0" collapsed="false">
      <c r="A7" s="0" t="s">
        <v>9</v>
      </c>
      <c r="B7" s="5" t="n">
        <f aca="false">SUMIFS(Sales!$F$2:$F$50,Sales!$I$2:$I$50,"Gym")</f>
        <v>197700</v>
      </c>
      <c r="C7" s="5" t="n">
        <f aca="false">SUMIFS(Sales!$N$2:$N$50,Sales!$I$2:$I$50,"Gym")</f>
        <v>44520</v>
      </c>
      <c r="D7" s="4" t="n">
        <f aca="false">IFERROR(C7/B7,0)</f>
        <v>0.225189681335357</v>
      </c>
    </row>
    <row r="8" customFormat="false" ht="15" hidden="false" customHeight="false" outlineLevel="0" collapsed="false">
      <c r="A8" s="0" t="s">
        <v>17</v>
      </c>
      <c r="B8" s="5" t="n">
        <f aca="false">SUMIFS(Sales!$F$2:$F$50,Sales!$I$2:$I$50,"Swimming")</f>
        <v>52350</v>
      </c>
      <c r="C8" s="5" t="n">
        <f aca="false">SUMIFS(Sales!$N$2:$N$50,Sales!$I$2:$I$50,"Swimming")</f>
        <v>19800</v>
      </c>
      <c r="D8" s="4" t="n">
        <f aca="false">IFERROR(C8/B8,0)</f>
        <v>0.378223495702006</v>
      </c>
    </row>
    <row r="9" customFormat="false" ht="15" hidden="false" customHeight="false" outlineLevel="0" collapsed="false">
      <c r="A9" s="0" t="s">
        <v>11</v>
      </c>
      <c r="B9" s="5" t="n">
        <f aca="false">SUMIFS(Sales!$F$2:$F$50,Sales!$I$2:$I$50,"Running")</f>
        <v>31900</v>
      </c>
      <c r="C9" s="5" t="n">
        <f aca="false">SUMIFS(Sales!$N$2:$N$50,Sales!$I$2:$I$50,"Running")</f>
        <v>7800</v>
      </c>
      <c r="D9" s="4" t="n">
        <f aca="false">IFERROR(C9/B9,0)</f>
        <v>0.244514106583072</v>
      </c>
    </row>
    <row r="10" customFormat="false" ht="15" hidden="false" customHeight="false" outlineLevel="0" collapsed="false">
      <c r="A10" s="0" t="s">
        <v>14</v>
      </c>
      <c r="B10" s="0" t="n">
        <f aca="false">SUMIFS(Sales!$F$2:$F$50,Sales!$I$2:$I$50,"Cycling")</f>
        <v>36000</v>
      </c>
      <c r="C10" s="0" t="n">
        <f aca="false">SUMIFS(Sales!$N$2:$N$50,Sales!$I$2:$I$50,"Cycling")</f>
        <v>8000</v>
      </c>
      <c r="D10" s="0" t="n">
        <f aca="false">IFERROR(C10/B10,0)</f>
        <v>0.222222222222222</v>
      </c>
    </row>
    <row r="12" customFormat="false" ht="15" hidden="false" customHeight="false" outlineLevel="0" collapsed="false">
      <c r="A12" s="9" t="s">
        <v>173</v>
      </c>
    </row>
    <row r="13" customFormat="false" ht="15" hidden="false" customHeight="false" outlineLevel="0" collapsed="false">
      <c r="A13" s="1" t="s">
        <v>0</v>
      </c>
      <c r="B13" s="1" t="s">
        <v>1</v>
      </c>
      <c r="C13" s="1" t="s">
        <v>174</v>
      </c>
      <c r="D13" s="1" t="s">
        <v>175</v>
      </c>
      <c r="E13" s="1" t="s">
        <v>176</v>
      </c>
      <c r="F13" s="1" t="s">
        <v>177</v>
      </c>
      <c r="G13" s="1" t="s">
        <v>178</v>
      </c>
      <c r="H13" s="1" t="s">
        <v>179</v>
      </c>
    </row>
    <row r="14" customFormat="false" ht="15" hidden="false" customHeight="false" outlineLevel="0" collapsed="false">
      <c r="A14" s="0" t="n">
        <v>1</v>
      </c>
      <c r="B14" s="0" t="s">
        <v>8</v>
      </c>
      <c r="C14" s="10" t="n">
        <f aca="false">SUMPRODUCT((Sales!$B$2:$B$50=1)*(MONTH(Sales!$G$2:$G$50)=1)*Sales!$F$2:$F$50)</f>
        <v>56000</v>
      </c>
      <c r="D14" s="10" t="n">
        <f aca="false">SUMPRODUCT((Sales!$B$2:$B$50=1)*(MONTH(Sales!$G$2:$G$50)=2)*Sales!$F$2:$F$50)</f>
        <v>0</v>
      </c>
      <c r="E14" s="10" t="n">
        <f aca="false">SUMPRODUCT((Sales!$B$2:$B$50=1)*(MONTH(Sales!$G$2:$G$50)=3)*Sales!$F$2:$F$50)</f>
        <v>28000</v>
      </c>
      <c r="F14" s="10" t="n">
        <f aca="false">SUMPRODUCT((Sales!$B$2:$B$50=1)*(MONTH(Sales!$G$2:$G$50)=4)*Sales!$F$2:$F$50)</f>
        <v>0</v>
      </c>
      <c r="G14" s="10" t="n">
        <f aca="false">SUMPRODUCT((Sales!$B$2:$B$50=1)*(MONTH(Sales!$G$2:$G$50)=5)*Sales!$F$2:$F$50)</f>
        <v>0</v>
      </c>
      <c r="H14" s="10" t="n">
        <f aca="false">SUMPRODUCT((Sales!$B$2:$B$50=1)*(MONTH(Sales!$G$2:$G$50)=6)*Sales!$F$2:$F$50)</f>
        <v>84000</v>
      </c>
    </row>
    <row r="15" customFormat="false" ht="15" hidden="false" customHeight="false" outlineLevel="0" collapsed="false">
      <c r="A15" s="0" t="n">
        <v>2</v>
      </c>
      <c r="B15" s="0" t="s">
        <v>10</v>
      </c>
      <c r="C15" s="10" t="n">
        <f aca="false">SUMPRODUCT((Sales!$B$2:$B$50=2)*(MONTH(Sales!$G$2:$G$50)=1)*Sales!$F$2:$F$50)</f>
        <v>0</v>
      </c>
      <c r="D15" s="10" t="n">
        <f aca="false">SUMPRODUCT((Sales!$B$2:$B$50=2)*(MONTH(Sales!$G$2:$G$50)=2)*Sales!$F$2:$F$50)</f>
        <v>8500</v>
      </c>
      <c r="E15" s="10" t="n">
        <f aca="false">SUMPRODUCT((Sales!$B$2:$B$50=2)*(MONTH(Sales!$G$2:$G$50)=3)*Sales!$F$2:$F$50)</f>
        <v>0</v>
      </c>
      <c r="F15" s="10" t="n">
        <f aca="false">SUMPRODUCT((Sales!$B$2:$B$50=2)*(MONTH(Sales!$G$2:$G$50)=4)*Sales!$F$2:$F$50)</f>
        <v>0</v>
      </c>
      <c r="G15" s="10" t="n">
        <f aca="false">SUMPRODUCT((Sales!$B$2:$B$50=2)*(MONTH(Sales!$G$2:$G$50)=5)*Sales!$F$2:$F$50)</f>
        <v>0</v>
      </c>
      <c r="H15" s="10" t="n">
        <f aca="false">SUMPRODUCT((Sales!$B$2:$B$50=2)*(MONTH(Sales!$G$2:$G$50)=6)*Sales!$F$2:$F$50)</f>
        <v>17000</v>
      </c>
    </row>
    <row r="16" customFormat="false" ht="15" hidden="false" customHeight="false" outlineLevel="0" collapsed="false">
      <c r="A16" s="0" t="n">
        <v>3</v>
      </c>
      <c r="B16" s="0" t="s">
        <v>12</v>
      </c>
      <c r="C16" s="10" t="n">
        <f aca="false">SUMPRODUCT((Sales!$B$2:$B$50=3)*(MONTH(Sales!$G$2:$G$50)=1)*Sales!$F$2:$F$50)</f>
        <v>1800</v>
      </c>
      <c r="D16" s="10" t="n">
        <f aca="false">SUMPRODUCT((Sales!$B$2:$B$50=3)*(MONTH(Sales!$G$2:$G$50)=2)*Sales!$F$2:$F$50)</f>
        <v>0</v>
      </c>
      <c r="E16" s="10" t="n">
        <f aca="false">SUMPRODUCT((Sales!$B$2:$B$50=3)*(MONTH(Sales!$G$2:$G$50)=3)*Sales!$F$2:$F$50)</f>
        <v>0</v>
      </c>
      <c r="F16" s="10" t="n">
        <f aca="false">SUMPRODUCT((Sales!$B$2:$B$50=3)*(MONTH(Sales!$G$2:$G$50)=4)*Sales!$F$2:$F$50)</f>
        <v>900</v>
      </c>
      <c r="G16" s="10" t="n">
        <f aca="false">SUMPRODUCT((Sales!$B$2:$B$50=3)*(MONTH(Sales!$G$2:$G$50)=5)*Sales!$F$2:$F$50)</f>
        <v>0</v>
      </c>
      <c r="H16" s="10" t="n">
        <f aca="false">SUMPRODUCT((Sales!$B$2:$B$50=3)*(MONTH(Sales!$G$2:$G$50)=6)*Sales!$F$2:$F$50)</f>
        <v>0</v>
      </c>
    </row>
    <row r="17" customFormat="false" ht="15" hidden="false" customHeight="false" outlineLevel="0" collapsed="false">
      <c r="A17" s="0" t="n">
        <v>4</v>
      </c>
      <c r="B17" s="0" t="s">
        <v>13</v>
      </c>
      <c r="C17" s="10" t="n">
        <f aca="false">SUMPRODUCT((Sales!$B$2:$B$50=4)*(MONTH(Sales!$G$2:$G$50)=1)*Sales!$F$2:$F$50)</f>
        <v>18000</v>
      </c>
      <c r="D17" s="10" t="n">
        <f aca="false">SUMPRODUCT((Sales!$B$2:$B$50=4)*(MONTH(Sales!$G$2:$G$50)=2)*Sales!$F$2:$F$50)</f>
        <v>0</v>
      </c>
      <c r="E17" s="10" t="n">
        <f aca="false">SUMPRODUCT((Sales!$B$2:$B$50=4)*(MONTH(Sales!$G$2:$G$50)=3)*Sales!$F$2:$F$50)</f>
        <v>0</v>
      </c>
      <c r="F17" s="10" t="n">
        <f aca="false">SUMPRODUCT((Sales!$B$2:$B$50=4)*(MONTH(Sales!$G$2:$G$50)=4)*Sales!$F$2:$F$50)</f>
        <v>18000</v>
      </c>
      <c r="G17" s="10" t="n">
        <f aca="false">SUMPRODUCT((Sales!$B$2:$B$50=4)*(MONTH(Sales!$G$2:$G$50)=5)*Sales!$F$2:$F$50)</f>
        <v>0</v>
      </c>
      <c r="H17" s="10" t="n">
        <f aca="false">SUMPRODUCT((Sales!$B$2:$B$50=4)*(MONTH(Sales!$G$2:$G$50)=6)*Sales!$F$2:$F$50)</f>
        <v>0</v>
      </c>
    </row>
    <row r="18" customFormat="false" ht="15" hidden="false" customHeight="false" outlineLevel="0" collapsed="false">
      <c r="A18" s="0" t="n">
        <v>5</v>
      </c>
      <c r="B18" s="0" t="s">
        <v>15</v>
      </c>
      <c r="C18" s="10" t="n">
        <f aca="false">SUMPRODUCT((Sales!$B$2:$B$50=5)*(MONTH(Sales!$G$2:$G$50)=1)*Sales!$F$2:$F$50)</f>
        <v>0</v>
      </c>
      <c r="D18" s="10" t="n">
        <f aca="false">SUMPRODUCT((Sales!$B$2:$B$50=5)*(MONTH(Sales!$G$2:$G$50)=2)*Sales!$F$2:$F$50)</f>
        <v>0</v>
      </c>
      <c r="E18" s="10" t="n">
        <f aca="false">SUMPRODUCT((Sales!$B$2:$B$50=5)*(MONTH(Sales!$G$2:$G$50)=3)*Sales!$F$2:$F$50)</f>
        <v>3200</v>
      </c>
      <c r="F18" s="10" t="n">
        <f aca="false">SUMPRODUCT((Sales!$B$2:$B$50=5)*(MONTH(Sales!$G$2:$G$50)=4)*Sales!$F$2:$F$50)</f>
        <v>0</v>
      </c>
      <c r="G18" s="10" t="n">
        <f aca="false">SUMPRODUCT((Sales!$B$2:$B$50=5)*(MONTH(Sales!$G$2:$G$50)=5)*Sales!$F$2:$F$50)</f>
        <v>0</v>
      </c>
      <c r="H18" s="10" t="n">
        <f aca="false">SUMPRODUCT((Sales!$B$2:$B$50=5)*(MONTH(Sales!$G$2:$G$50)=6)*Sales!$F$2:$F$50)</f>
        <v>3200</v>
      </c>
    </row>
    <row r="19" customFormat="false" ht="15" hidden="false" customHeight="false" outlineLevel="0" collapsed="false">
      <c r="A19" s="0" t="n">
        <v>6</v>
      </c>
      <c r="B19" s="0" t="s">
        <v>16</v>
      </c>
      <c r="C19" s="10" t="n">
        <f aca="false">SUMPRODUCT((Sales!$B$2:$B$50=6)*(MONTH(Sales!$G$2:$G$50)=1)*Sales!$F$2:$F$50)</f>
        <v>0</v>
      </c>
      <c r="D19" s="10" t="n">
        <f aca="false">SUMPRODUCT((Sales!$B$2:$B$50=6)*(MONTH(Sales!$G$2:$G$50)=2)*Sales!$F$2:$F$50)</f>
        <v>32500</v>
      </c>
      <c r="E19" s="10" t="n">
        <f aca="false">SUMPRODUCT((Sales!$B$2:$B$50=6)*(MONTH(Sales!$G$2:$G$50)=3)*Sales!$F$2:$F$50)</f>
        <v>0</v>
      </c>
      <c r="F19" s="10" t="n">
        <f aca="false">SUMPRODUCT((Sales!$B$2:$B$50=6)*(MONTH(Sales!$G$2:$G$50)=4)*Sales!$F$2:$F$50)</f>
        <v>0</v>
      </c>
      <c r="G19" s="10" t="n">
        <f aca="false">SUMPRODUCT((Sales!$B$2:$B$50=6)*(MONTH(Sales!$G$2:$G$50)=5)*Sales!$F$2:$F$50)</f>
        <v>16250</v>
      </c>
      <c r="H19" s="10" t="n">
        <f aca="false">SUMPRODUCT((Sales!$B$2:$B$50=6)*(MONTH(Sales!$G$2:$G$50)=6)*Sales!$F$2:$F$50)</f>
        <v>0</v>
      </c>
    </row>
    <row r="20" customFormat="false" ht="15" hidden="false" customHeight="false" outlineLevel="0" collapsed="false">
      <c r="A20" s="0" t="n">
        <v>7</v>
      </c>
      <c r="B20" s="0" t="s">
        <v>18</v>
      </c>
      <c r="C20" s="10" t="n">
        <f aca="false">SUMPRODUCT((Sales!$B$2:$B$50=7)*(MONTH(Sales!$G$2:$G$50)=1)*Sales!$F$2:$F$50)</f>
        <v>0</v>
      </c>
      <c r="D20" s="10" t="n">
        <f aca="false">SUMPRODUCT((Sales!$B$2:$B$50=7)*(MONTH(Sales!$G$2:$G$50)=2)*Sales!$F$2:$F$50)</f>
        <v>0</v>
      </c>
      <c r="E20" s="10" t="n">
        <f aca="false">SUMPRODUCT((Sales!$B$2:$B$50=7)*(MONTH(Sales!$G$2:$G$50)=3)*Sales!$F$2:$F$50)</f>
        <v>4800</v>
      </c>
      <c r="F20" s="10" t="n">
        <f aca="false">SUMPRODUCT((Sales!$B$2:$B$50=7)*(MONTH(Sales!$G$2:$G$50)=4)*Sales!$F$2:$F$50)</f>
        <v>0</v>
      </c>
      <c r="G20" s="10" t="n">
        <f aca="false">SUMPRODUCT((Sales!$B$2:$B$50=7)*(MONTH(Sales!$G$2:$G$50)=5)*Sales!$F$2:$F$50)</f>
        <v>2400</v>
      </c>
      <c r="H20" s="10" t="n">
        <f aca="false">SUMPRODUCT((Sales!$B$2:$B$50=7)*(MONTH(Sales!$G$2:$G$50)=6)*Sales!$F$2:$F$50)</f>
        <v>0</v>
      </c>
    </row>
    <row r="21" customFormat="false" ht="15" hidden="false" customHeight="false" outlineLevel="0" collapsed="false">
      <c r="A21" s="0" t="n">
        <v>8</v>
      </c>
      <c r="B21" s="0" t="s">
        <v>20</v>
      </c>
      <c r="C21" s="10" t="n">
        <f aca="false">SUMPRODUCT((Sales!$B$2:$B$50=8)*(MONTH(Sales!$G$2:$G$50)=1)*Sales!$F$2:$F$50)</f>
        <v>0</v>
      </c>
      <c r="D21" s="10" t="n">
        <f aca="false">SUMPRODUCT((Sales!$B$2:$B$50=8)*(MONTH(Sales!$G$2:$G$50)=2)*Sales!$F$2:$F$50)</f>
        <v>5000</v>
      </c>
      <c r="E21" s="10" t="n">
        <f aca="false">SUMPRODUCT((Sales!$B$2:$B$50=8)*(MONTH(Sales!$G$2:$G$50)=3)*Sales!$F$2:$F$50)</f>
        <v>0</v>
      </c>
      <c r="F21" s="10" t="n">
        <f aca="false">SUMPRODUCT((Sales!$B$2:$B$50=8)*(MONTH(Sales!$G$2:$G$50)=4)*Sales!$F$2:$F$50)</f>
        <v>0</v>
      </c>
      <c r="G21" s="10" t="n">
        <f aca="false">SUMPRODUCT((Sales!$B$2:$B$50=8)*(MONTH(Sales!$G$2:$G$50)=5)*Sales!$F$2:$F$50)</f>
        <v>2500</v>
      </c>
      <c r="H21" s="10" t="n">
        <f aca="false">SUMPRODUCT((Sales!$B$2:$B$50=8)*(MONTH(Sales!$G$2:$G$50)=6)*Sales!$F$2:$F$50)</f>
        <v>0</v>
      </c>
    </row>
    <row r="22" customFormat="false" ht="15" hidden="false" customHeight="false" outlineLevel="0" collapsed="false">
      <c r="A22" s="0" t="n">
        <v>9</v>
      </c>
      <c r="B22" s="0" t="s">
        <v>21</v>
      </c>
      <c r="C22" s="10" t="n">
        <f aca="false">SUMPRODUCT((Sales!$B$2:$B$50=9)*(MONTH(Sales!$G$2:$G$50)=1)*Sales!$F$2:$F$50)</f>
        <v>0</v>
      </c>
      <c r="D22" s="10" t="n">
        <f aca="false">SUMPRODUCT((Sales!$B$2:$B$50=9)*(MONTH(Sales!$G$2:$G$50)=2)*Sales!$F$2:$F$50)</f>
        <v>0</v>
      </c>
      <c r="E22" s="10" t="n">
        <f aca="false">SUMPRODUCT((Sales!$B$2:$B$50=9)*(MONTH(Sales!$G$2:$G$50)=3)*Sales!$F$2:$F$50)</f>
        <v>0</v>
      </c>
      <c r="F22" s="10" t="n">
        <f aca="false">SUMPRODUCT((Sales!$B$2:$B$50=9)*(MONTH(Sales!$G$2:$G$50)=4)*Sales!$F$2:$F$50)</f>
        <v>3600</v>
      </c>
      <c r="G22" s="10" t="n">
        <f aca="false">SUMPRODUCT((Sales!$B$2:$B$50=9)*(MONTH(Sales!$G$2:$G$50)=5)*Sales!$F$2:$F$50)</f>
        <v>0</v>
      </c>
      <c r="H22" s="10" t="n">
        <f aca="false">SUMPRODUCT((Sales!$B$2:$B$50=9)*(MONTH(Sales!$G$2:$G$50)=6)*Sales!$F$2:$F$50)</f>
        <v>0</v>
      </c>
    </row>
    <row r="23" customFormat="false" ht="15" hidden="false" customHeight="false" outlineLevel="0" collapsed="false">
      <c r="A23" s="0" t="n">
        <v>10</v>
      </c>
      <c r="B23" s="0" t="s">
        <v>22</v>
      </c>
      <c r="C23" s="10" t="n">
        <f aca="false">SUMPRODUCT((Sales!$B$2:$B$50=10)*(MONTH(Sales!$G$2:$G$50)=1)*Sales!$F$2:$F$50)</f>
        <v>0</v>
      </c>
      <c r="D23" s="10" t="n">
        <f aca="false">SUMPRODUCT((Sales!$B$2:$B$50=10)*(MONTH(Sales!$G$2:$G$50)=2)*Sales!$F$2:$F$50)</f>
        <v>0</v>
      </c>
      <c r="E23" s="10" t="n">
        <f aca="false">SUMPRODUCT((Sales!$B$2:$B$50=10)*(MONTH(Sales!$G$2:$G$50)=3)*Sales!$F$2:$F$50)</f>
        <v>18000</v>
      </c>
      <c r="F23" s="10" t="n">
        <f aca="false">SUMPRODUCT((Sales!$B$2:$B$50=10)*(MONTH(Sales!$G$2:$G$50)=4)*Sales!$F$2:$F$50)</f>
        <v>0</v>
      </c>
      <c r="G23" s="10" t="n">
        <f aca="false">SUMPRODUCT((Sales!$B$2:$B$50=10)*(MONTH(Sales!$G$2:$G$50)=5)*Sales!$F$2:$F$50)</f>
        <v>0</v>
      </c>
      <c r="H23" s="10" t="n">
        <f aca="false">SUMPRODUCT((Sales!$B$2:$B$50=10)*(MONTH(Sales!$G$2:$G$50)=6)*Sales!$F$2:$F$50)</f>
        <v>9000</v>
      </c>
    </row>
    <row r="26" customFormat="false" ht="15" hidden="false" customHeight="false" outlineLevel="0" collapsed="false">
      <c r="A26" s="9" t="s">
        <v>180</v>
      </c>
    </row>
    <row r="27" customFormat="false" ht="15" hidden="false" customHeight="false" outlineLevel="0" collapsed="false">
      <c r="A27" s="1" t="s">
        <v>2</v>
      </c>
      <c r="B27" s="1" t="s">
        <v>61</v>
      </c>
    </row>
    <row r="28" customFormat="false" ht="15" hidden="false" customHeight="false" outlineLevel="0" collapsed="false">
      <c r="A28" s="0" t="s">
        <v>19</v>
      </c>
      <c r="B28" s="5" t="n">
        <f aca="false">SUMIFS(Purchases!$F$2:$F$50,Purchases!$I$2:$I$50,"Football")</f>
        <v>518500</v>
      </c>
    </row>
    <row r="29" customFormat="false" ht="15" hidden="false" customHeight="false" outlineLevel="0" collapsed="false">
      <c r="A29" s="0" t="s">
        <v>9</v>
      </c>
      <c r="B29" s="5" t="n">
        <f aca="false">SUMIFS(Purchases!$F$2:$F$50,Purchases!$I$2:$I$50,"Gym")</f>
        <v>464000</v>
      </c>
    </row>
    <row r="30" customFormat="false" ht="15" hidden="false" customHeight="false" outlineLevel="0" collapsed="false">
      <c r="A30" s="0" t="s">
        <v>17</v>
      </c>
      <c r="B30" s="5" t="n">
        <f aca="false">SUMIFS(Purchases!$F$2:$F$50,Purchases!$I$2:$I$50,"Swimming")</f>
        <v>185500</v>
      </c>
    </row>
    <row r="31" customFormat="false" ht="15" hidden="false" customHeight="false" outlineLevel="0" collapsed="false">
      <c r="A31" s="0" t="s">
        <v>11</v>
      </c>
      <c r="B31" s="5" t="n">
        <f aca="false">SUMIFS(Purchases!$F$2:$F$50,Purchases!$I$2:$I$50,"Running")</f>
        <v>444000</v>
      </c>
    </row>
    <row r="32" customFormat="false" ht="15" hidden="false" customHeight="false" outlineLevel="0" collapsed="false">
      <c r="A32" s="0" t="s">
        <v>14</v>
      </c>
      <c r="B32" s="0" t="n">
        <f aca="false">SUMIFS(Purchases!$F$2:$F$50,Purchases!$I$2:$I$50,"Cycling")</f>
        <v>210000</v>
      </c>
    </row>
    <row r="34" customFormat="false" ht="15" hidden="false" customHeight="false" outlineLevel="0" collapsed="false">
      <c r="A34" s="9" t="s">
        <v>181</v>
      </c>
    </row>
    <row r="35" customFormat="false" ht="15" hidden="false" customHeight="false" outlineLevel="0" collapsed="false">
      <c r="A35" s="1" t="s">
        <v>182</v>
      </c>
      <c r="B35" s="1" t="s">
        <v>183</v>
      </c>
    </row>
    <row r="36" customFormat="false" ht="15" hidden="false" customHeight="false" outlineLevel="0" collapsed="false">
      <c r="A36" s="0" t="s">
        <v>174</v>
      </c>
      <c r="B36" s="5" t="n">
        <f aca="false">SUMPRODUCT((MONTH(Expenses!$D$2:$D$50)=1)*Expenses!$C$2:$C$50)</f>
        <v>41300</v>
      </c>
    </row>
    <row r="37" customFormat="false" ht="15" hidden="false" customHeight="false" outlineLevel="0" collapsed="false">
      <c r="A37" s="0" t="s">
        <v>175</v>
      </c>
      <c r="B37" s="5" t="n">
        <f aca="false">SUMPRODUCT((MONTH(Expenses!$D$2:$D$50)=2)*Expenses!$C$2:$C$50)</f>
        <v>42500</v>
      </c>
    </row>
    <row r="38" customFormat="false" ht="15" hidden="false" customHeight="false" outlineLevel="0" collapsed="false">
      <c r="A38" s="0" t="s">
        <v>176</v>
      </c>
      <c r="B38" s="5" t="n">
        <f aca="false">SUMPRODUCT((MONTH(Expenses!$D$2:$D$50)=3)*Expenses!$C$2:$C$50)</f>
        <v>39200</v>
      </c>
    </row>
    <row r="39" customFormat="false" ht="15" hidden="false" customHeight="false" outlineLevel="0" collapsed="false">
      <c r="A39" s="0" t="s">
        <v>177</v>
      </c>
      <c r="B39" s="5" t="n">
        <f aca="false">SUMPRODUCT((MONTH(Expenses!$D$2:$D$50)=4)*Expenses!$C$2:$C$50)</f>
        <v>0</v>
      </c>
    </row>
    <row r="40" customFormat="false" ht="15" hidden="false" customHeight="false" outlineLevel="0" collapsed="false">
      <c r="A40" s="0" t="s">
        <v>178</v>
      </c>
      <c r="B40" s="5" t="n">
        <f aca="false">SUMPRODUCT((MONTH(Expenses!$D$2:$D$50)=5)*Expenses!$C$2:$C$50)</f>
        <v>0</v>
      </c>
    </row>
    <row r="41" customFormat="false" ht="15" hidden="false" customHeight="false" outlineLevel="0" collapsed="false">
      <c r="A41" s="0" t="s">
        <v>179</v>
      </c>
      <c r="B41" s="5" t="n">
        <f aca="false">SUMPRODUCT((MONTH(Expenses!$D$2:$D$50)=6)*Expenses!$C$2:$C$50)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1" t="s">
        <v>184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2" t="s">
        <v>185</v>
      </c>
      <c r="B3" s="12"/>
      <c r="C3" s="12" t="s">
        <v>186</v>
      </c>
      <c r="D3" s="12"/>
      <c r="E3" s="12" t="s">
        <v>187</v>
      </c>
      <c r="F3" s="12"/>
    </row>
    <row r="4" customFormat="false" ht="15" hidden="false" customHeight="false" outlineLevel="0" collapsed="false">
      <c r="A4" s="13" t="n">
        <f aca="false">SUM(Sales!F2:F50)</f>
        <v>332650</v>
      </c>
      <c r="B4" s="13"/>
      <c r="C4" s="13" t="n">
        <f aca="false">SUM(Sales!N2:N50)</f>
        <v>84935</v>
      </c>
      <c r="D4" s="13"/>
      <c r="E4" s="14" t="n">
        <f aca="false">IFERROR(SUM(Sales!N2:N50)/SUM(Sales!F2:F50),0)</f>
        <v>0.255328423267699</v>
      </c>
      <c r="F4" s="14"/>
    </row>
    <row r="6" customFormat="false" ht="15" hidden="false" customHeight="false" outlineLevel="0" collapsed="false">
      <c r="A6" s="12" t="s">
        <v>188</v>
      </c>
      <c r="B6" s="12"/>
      <c r="C6" s="12" t="s">
        <v>189</v>
      </c>
      <c r="D6" s="12"/>
      <c r="E6" s="12" t="s">
        <v>190</v>
      </c>
      <c r="F6" s="12"/>
    </row>
    <row r="7" customFormat="false" ht="15" hidden="false" customHeight="false" outlineLevel="0" collapsed="false">
      <c r="A7" s="13" t="n">
        <f aca="false">SUM(Expenses!C2:C50)</f>
        <v>123000</v>
      </c>
      <c r="B7" s="13"/>
      <c r="C7" s="13" t="n">
        <f aca="false">SUMPRODUCT(Product!D2:D11,Product!E2:E11)</f>
        <v>1194100</v>
      </c>
      <c r="D7" s="13"/>
      <c r="E7" s="13" t="n">
        <f aca="false">SUM(Analysis!E13:E22)</f>
        <v>529</v>
      </c>
      <c r="F7" s="13"/>
    </row>
    <row r="10" customFormat="false" ht="15" hidden="false" customHeight="false" outlineLevel="0" collapsed="false">
      <c r="A10" s="15" t="s">
        <v>191</v>
      </c>
      <c r="E10" s="15" t="s">
        <v>192</v>
      </c>
    </row>
    <row r="29" customFormat="false" ht="15" hidden="false" customHeight="false" outlineLevel="0" collapsed="false">
      <c r="A29" s="15" t="s">
        <v>193</v>
      </c>
    </row>
  </sheetData>
  <mergeCells count="13">
    <mergeCell ref="A1:F1"/>
    <mergeCell ref="A3:B3"/>
    <mergeCell ref="C3:D3"/>
    <mergeCell ref="E3:F3"/>
    <mergeCell ref="A4:B4"/>
    <mergeCell ref="C4:D4"/>
    <mergeCell ref="E4:F4"/>
    <mergeCell ref="A6:B6"/>
    <mergeCell ref="C6:D6"/>
    <mergeCell ref="E6:F6"/>
    <mergeCell ref="A7:B7"/>
    <mergeCell ref="C7:D7"/>
    <mergeCell ref="E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2026-04-27T07:40:23Z</dcterms:created>
  <dc:creator>openpyxl</dc:creator>
  <dc:description/>
  <dc:language>en-US</dc:language>
  <cp:lastModifiedBy/>
  <dcterms:modified xsi:type="dcterms:W3CDTF">2026-04-27T12:35:17Z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